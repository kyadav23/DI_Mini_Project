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dav\Downloads\"/>
    </mc:Choice>
  </mc:AlternateContent>
  <xr:revisionPtr revIDLastSave="0" documentId="13_ncr:1_{6D92A8D6-12D1-492A-AB6B-F15CAE66D1D5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shboard" sheetId="1" r:id="rId1"/>
    <sheet name="GDP &amp; Revenue" sheetId="2" r:id="rId2"/>
    <sheet name="Employment Tracker" sheetId="3" r:id="rId3"/>
    <sheet name="Business Closures &amp; Relief" sheetId="4" r:id="rId4"/>
    <sheet name="Recovery Tracker" sheetId="5" r:id="rId5"/>
    <sheet name="Revenue Loss Breakdown" sheetId="6" r:id="rId6"/>
    <sheet name="Formula Master Referenc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4" i="7" l="1"/>
  <c r="C42" i="7"/>
  <c r="B40" i="7"/>
  <c r="A40" i="7"/>
  <c r="C29" i="7"/>
  <c r="C15" i="7"/>
  <c r="C11" i="7"/>
  <c r="C14" i="7" s="1"/>
  <c r="C10" i="7"/>
  <c r="G12" i="6"/>
  <c r="I12" i="6" s="1"/>
  <c r="C12" i="6"/>
  <c r="B12" i="6"/>
  <c r="I11" i="6"/>
  <c r="H11" i="6"/>
  <c r="E11" i="6"/>
  <c r="D11" i="6"/>
  <c r="I10" i="6"/>
  <c r="H10" i="6"/>
  <c r="E10" i="6"/>
  <c r="D10" i="6"/>
  <c r="I9" i="6"/>
  <c r="H9" i="6"/>
  <c r="E9" i="6"/>
  <c r="D9" i="6"/>
  <c r="I8" i="6"/>
  <c r="H8" i="6"/>
  <c r="E8" i="6"/>
  <c r="D8" i="6"/>
  <c r="I7" i="6"/>
  <c r="H7" i="6"/>
  <c r="E7" i="6"/>
  <c r="D7" i="6"/>
  <c r="I6" i="6"/>
  <c r="H6" i="6"/>
  <c r="H12" i="6" s="1"/>
  <c r="E6" i="6"/>
  <c r="D6" i="6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H15" i="5"/>
  <c r="H14" i="5"/>
  <c r="H13" i="5"/>
  <c r="H12" i="5"/>
  <c r="H11" i="5"/>
  <c r="H10" i="5"/>
  <c r="H9" i="5"/>
  <c r="H8" i="5"/>
  <c r="H7" i="5"/>
  <c r="H24" i="5" s="1"/>
  <c r="H6" i="5"/>
  <c r="H21" i="5" s="1"/>
  <c r="G22" i="4"/>
  <c r="F22" i="4"/>
  <c r="H12" i="4"/>
  <c r="G12" i="4"/>
  <c r="D12" i="4"/>
  <c r="C12" i="4"/>
  <c r="B12" i="4"/>
  <c r="F11" i="4"/>
  <c r="E11" i="4"/>
  <c r="F10" i="4"/>
  <c r="E10" i="4"/>
  <c r="F9" i="4"/>
  <c r="F12" i="4" s="1"/>
  <c r="E9" i="4"/>
  <c r="E12" i="4" s="1"/>
  <c r="F8" i="4"/>
  <c r="E8" i="4"/>
  <c r="F7" i="4"/>
  <c r="E7" i="4"/>
  <c r="F6" i="4"/>
  <c r="E6" i="4"/>
  <c r="I22" i="3"/>
  <c r="H22" i="3"/>
  <c r="E22" i="3"/>
  <c r="D22" i="3"/>
  <c r="C22" i="3"/>
  <c r="B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G22" i="3" s="1"/>
  <c r="F17" i="3"/>
  <c r="F22" i="3" s="1"/>
  <c r="I11" i="3"/>
  <c r="H11" i="3"/>
  <c r="G11" i="3"/>
  <c r="F11" i="3"/>
  <c r="I10" i="3"/>
  <c r="H10" i="3"/>
  <c r="G10" i="3"/>
  <c r="F10" i="3"/>
  <c r="I9" i="3"/>
  <c r="H9" i="3"/>
  <c r="G9" i="3"/>
  <c r="F9" i="3"/>
  <c r="I8" i="3"/>
  <c r="H8" i="3"/>
  <c r="G8" i="3"/>
  <c r="F8" i="3"/>
  <c r="I7" i="3"/>
  <c r="H7" i="3"/>
  <c r="G7" i="3"/>
  <c r="F7" i="3"/>
  <c r="I6" i="3"/>
  <c r="H6" i="3"/>
  <c r="G6" i="3"/>
  <c r="F6" i="3"/>
  <c r="B27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H12" i="2"/>
  <c r="F12" i="2"/>
  <c r="E12" i="2"/>
  <c r="H11" i="2"/>
  <c r="F11" i="2"/>
  <c r="E11" i="2"/>
  <c r="H10" i="2"/>
  <c r="F10" i="2"/>
  <c r="E10" i="2"/>
  <c r="H9" i="2"/>
  <c r="F9" i="2"/>
  <c r="E9" i="2"/>
  <c r="H8" i="2"/>
  <c r="F8" i="2"/>
  <c r="E8" i="2"/>
  <c r="H7" i="2"/>
  <c r="F7" i="2"/>
  <c r="E7" i="2"/>
  <c r="H6" i="2"/>
  <c r="E6" i="2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F8" i="6" l="1"/>
  <c r="F11" i="6"/>
  <c r="F6" i="6"/>
  <c r="H27" i="5"/>
  <c r="H26" i="5"/>
  <c r="H25" i="5"/>
  <c r="H23" i="5"/>
  <c r="D12" i="6"/>
  <c r="H22" i="5"/>
  <c r="F10" i="6" l="1"/>
  <c r="E12" i="6"/>
  <c r="F7" i="6"/>
  <c r="F9" i="6"/>
</calcChain>
</file>

<file path=xl/sharedStrings.xml><?xml version="1.0" encoding="utf-8"?>
<sst xmlns="http://schemas.openxmlformats.org/spreadsheetml/2006/main" count="584" uniqueCount="438">
  <si>
    <t>COVID-19 ECONOMIC IMPACT — HOSPITALITY &amp; TOURISM SECTOR</t>
  </si>
  <si>
    <t>Total Revenue Lost
(2020 vs 2019)</t>
  </si>
  <si>
    <t>Peak Jobs Lost
(2020)</t>
  </si>
  <si>
    <t>Hotel Occupancy
2019 → 2020</t>
  </si>
  <si>
    <t>GDP Contraction
(2020)</t>
  </si>
  <si>
    <t>Recovery Index
(2022)</t>
  </si>
  <si>
    <t>Status</t>
  </si>
  <si>
    <t>$4.5 Trillion</t>
  </si>
  <si>
    <t>44 Million</t>
  </si>
  <si>
    <t>71%  →  25%</t>
  </si>
  <si>
    <t>−3.4%</t>
  </si>
  <si>
    <t>90 / 100</t>
  </si>
  <si>
    <t>⚠ Recovering</t>
  </si>
  <si>
    <t xml:space="preserve">  KEY ECONOMIC INDICATORS AT A GLANCE (2017–2023)  |  Source: WTTC, IATA, World Bank</t>
  </si>
  <si>
    <t>Indicator</t>
  </si>
  <si>
    <t>2017</t>
  </si>
  <si>
    <t>2018</t>
  </si>
  <si>
    <t>2019</t>
  </si>
  <si>
    <t>2020
(COVID Peak)</t>
  </si>
  <si>
    <t>2021</t>
  </si>
  <si>
    <t>2022</t>
  </si>
  <si>
    <t>2023</t>
  </si>
  <si>
    <t>Δ 2019 → 2020</t>
  </si>
  <si>
    <t>% Change</t>
  </si>
  <si>
    <t>Trend</t>
  </si>
  <si>
    <t>Global Tourism Revenue ($T)</t>
  </si>
  <si>
    <t>▼ Sharp Drop</t>
  </si>
  <si>
    <t>Hotel Revenue ($B)</t>
  </si>
  <si>
    <t>Airline Revenue ($B)</t>
  </si>
  <si>
    <t>Hospitality Employment (M)</t>
  </si>
  <si>
    <t>▼ Drop</t>
  </si>
  <si>
    <t>Intl. Tourist Arrivals (B)</t>
  </si>
  <si>
    <t>Global GDP Growth (%)</t>
  </si>
  <si>
    <t>Hotel Occupancy Rate (%)</t>
  </si>
  <si>
    <t>Business Closures (000s)</t>
  </si>
  <si>
    <t>▲ Growth</t>
  </si>
  <si>
    <t>GDP GROWTH &amp; INDUSTRY REVENUE ANALYSIS</t>
  </si>
  <si>
    <t>Annual Economic Data  |  Hospitality &amp; Tourism Sector  |  COVID-19 Impact Research  |  2017–2023</t>
  </si>
  <si>
    <t>Year</t>
  </si>
  <si>
    <t>GDP Growth
(%)</t>
  </si>
  <si>
    <t>Hotel Revenue
($B)</t>
  </si>
  <si>
    <t>Airline Revenue
($B)</t>
  </si>
  <si>
    <t>Total Hospitality
Revenue ($B)</t>
  </si>
  <si>
    <t>YoY Airline
Change (%)</t>
  </si>
  <si>
    <t>Intl. Arrivals
(Billion)</t>
  </si>
  <si>
    <t>COVID Year
Flag</t>
  </si>
  <si>
    <t>Notes</t>
  </si>
  <si>
    <t>First year — no prior data</t>
  </si>
  <si>
    <t>Normal growth year</t>
  </si>
  <si>
    <t>Record tourism year</t>
  </si>
  <si>
    <t>Pre-COVID peak year</t>
  </si>
  <si>
    <t>COVID-19 pandemic — severe impact</t>
  </si>
  <si>
    <t>Partial reopening — vaccines begin</t>
  </si>
  <si>
    <t>Strong recovery momentum</t>
  </si>
  <si>
    <t>Near-full recovery achieved</t>
  </si>
  <si>
    <t xml:space="preserve">  TABLE 2 — STATISTICAL SUMMARY (Descriptive Statistics)</t>
  </si>
  <si>
    <t>Statistic</t>
  </si>
  <si>
    <t>Hotel Rev ($B)</t>
  </si>
  <si>
    <t>Airline Rev ($B)</t>
  </si>
  <si>
    <t>GDP Growth (%)</t>
  </si>
  <si>
    <t>Intl. Arrivals (B)</t>
  </si>
  <si>
    <t>MEDIAN</t>
  </si>
  <si>
    <t>LARGE — 2nd Highest</t>
  </si>
  <si>
    <t>N/A</t>
  </si>
  <si>
    <t>—</t>
  </si>
  <si>
    <t>~$638B (est.)</t>
  </si>
  <si>
    <t>EMPLOYMENT IMPACT &amp; UNEMPLOYMENT ANALYSIS</t>
  </si>
  <si>
    <t>COVID-19 Labor Market Disruption  |  Hospitality &amp; Tourism Sector  |  2019–2022</t>
  </si>
  <si>
    <t xml:space="preserve">  TABLE 3 — Unemployment Rate (%) by Industry: Pre-COVID, Peak (Q2 2020), Recovery</t>
  </si>
  <si>
    <t>Industry</t>
  </si>
  <si>
    <t>2019
Pre-COVID</t>
  </si>
  <si>
    <t>Q2 2020
Peak COVID</t>
  </si>
  <si>
    <t>2021
Recovery</t>
  </si>
  <si>
    <t>Δ 2019 → 2020
(pp)</t>
  </si>
  <si>
    <t>Δ 2021 → 2022
(pp Recovery)</t>
  </si>
  <si>
    <t>% Recovered
vs 2019</t>
  </si>
  <si>
    <t>Rank
(Worst Hit)</t>
  </si>
  <si>
    <t>Risk Level</t>
  </si>
  <si>
    <t>Hospitality &amp; Tourism</t>
  </si>
  <si>
    <t>🔴 Very High</t>
  </si>
  <si>
    <t>Retail &amp; Commerce</t>
  </si>
  <si>
    <t>🟠 High</t>
  </si>
  <si>
    <t>Manufacturing</t>
  </si>
  <si>
    <t>Healthcare</t>
  </si>
  <si>
    <t>🟢 Low</t>
  </si>
  <si>
    <t>Technology</t>
  </si>
  <si>
    <t>Education</t>
  </si>
  <si>
    <t>🟡 Moderate</t>
  </si>
  <si>
    <t xml:space="preserve">  TABLE 4 — Sub-Sector Employment Figures (Million Workers)  |  Source: WTTC 2023</t>
  </si>
  <si>
    <t>Sub-Sector</t>
  </si>
  <si>
    <t>2020
Peak Impact</t>
  </si>
  <si>
    <t>Jobs Lost
2019 → 2020 (M)</t>
  </si>
  <si>
    <t>Jobs Regained
2020 → 2022 (M)</t>
  </si>
  <si>
    <t>Recovery
Ratio (%)</t>
  </si>
  <si>
    <t>CAGR
2020 → 2022</t>
  </si>
  <si>
    <t>Hotels &amp; Accommodation</t>
  </si>
  <si>
    <t>✓ Near Full</t>
  </si>
  <si>
    <t>Airlines &amp; Air Travel</t>
  </si>
  <si>
    <t>Restaurants &amp; Food Svc</t>
  </si>
  <si>
    <t>Events &amp; Entertainment</t>
  </si>
  <si>
    <t>Travel Agencies</t>
  </si>
  <si>
    <t>TOTAL</t>
  </si>
  <si>
    <t>BUSINESS CLOSURES &amp; GOVERNMENT RELIEF MEASURES</t>
  </si>
  <si>
    <t>COVID-19 Business Impact  |  Relief Package Tracker  |  2020–2022  |  Source: WTTC / Government Reports</t>
  </si>
  <si>
    <t xml:space="preserve">  TABLE 5 — Business Closure &amp; Distress Rates by Sub-Sector (2020)</t>
  </si>
  <si>
    <t>Pre-COVID
Businesses</t>
  </si>
  <si>
    <t>Temporary
Closures (2020)</t>
  </si>
  <si>
    <t>Permanent
Closures (2020)</t>
  </si>
  <si>
    <t>Temp Closure
Rate (%)</t>
  </si>
  <si>
    <t>Perm. Closure
Rate (%)</t>
  </si>
  <si>
    <t>Avg. Revenue
Drop (%)</t>
  </si>
  <si>
    <t>Govt. Aid
Received (%)</t>
  </si>
  <si>
    <t>Recovery
Timeline</t>
  </si>
  <si>
    <t>Hotels &amp; Resorts</t>
  </si>
  <si>
    <t>2023–2024</t>
  </si>
  <si>
    <t>Independent Restaurants</t>
  </si>
  <si>
    <t>2024+</t>
  </si>
  <si>
    <t>Airlines</t>
  </si>
  <si>
    <t>2022–2023</t>
  </si>
  <si>
    <t>Event Companies</t>
  </si>
  <si>
    <t>Cruise Lines</t>
  </si>
  <si>
    <t>TOTAL / AVG</t>
  </si>
  <si>
    <t>Country / Region</t>
  </si>
  <si>
    <t>Programme Name</t>
  </si>
  <si>
    <t>Type</t>
  </si>
  <si>
    <t>Total Value
(as stated)</t>
  </si>
  <si>
    <t>Currency
Note</t>
  </si>
  <si>
    <t>Hospitality
Share ($B)</t>
  </si>
  <si>
    <t>Beneficiaries
(Million)</t>
  </si>
  <si>
    <t>Duration</t>
  </si>
  <si>
    <t>Effectiveness</t>
  </si>
  <si>
    <t>United States</t>
  </si>
  <si>
    <t>Paycheck Protection Program (PPP) + Airline Grants</t>
  </si>
  <si>
    <t>Loans / Grants</t>
  </si>
  <si>
    <t>$900B</t>
  </si>
  <si>
    <t>USD</t>
  </si>
  <si>
    <t>2020–2021</t>
  </si>
  <si>
    <t>High</t>
  </si>
  <si>
    <t>European Union</t>
  </si>
  <si>
    <t>Recovery and Resilience Facility (RRF)</t>
  </si>
  <si>
    <t>Grants / Loans</t>
  </si>
  <si>
    <t>$750B</t>
  </si>
  <si>
    <t>EUR*</t>
  </si>
  <si>
    <t>2021–2026</t>
  </si>
  <si>
    <t>United Kingdom</t>
  </si>
  <si>
    <t>Coronavirus Job Retention Scheme (Furlough)</t>
  </si>
  <si>
    <t>Wage Subsidy</t>
  </si>
  <si>
    <t>$70B</t>
  </si>
  <si>
    <t>GBP*</t>
  </si>
  <si>
    <t>Very High</t>
  </si>
  <si>
    <t>India</t>
  </si>
  <si>
    <t>PM Garib Kalyan Yojana + Credit Guarantee Schemes</t>
  </si>
  <si>
    <t>Direct Transfers</t>
  </si>
  <si>
    <t>$266B</t>
  </si>
  <si>
    <t>Moderate</t>
  </si>
  <si>
    <t>UAE / Middle East</t>
  </si>
  <si>
    <t>Tourism Sector Waivers and Fee Reductions</t>
  </si>
  <si>
    <t>Tax Relief</t>
  </si>
  <si>
    <t>$10B+</t>
  </si>
  <si>
    <t>TOTAL (5 countries)</t>
  </si>
  <si>
    <t>*See currency notes</t>
  </si>
  <si>
    <t>INDUSTRY RECOVERY INDEX TRACKER</t>
  </si>
  <si>
    <t>Quarterly Recovery Monitoring  |  Q1 2020 – Q2 2022  |  Pre-COVID Baseline = 100</t>
  </si>
  <si>
    <t xml:space="preserve">  TABLE 7 — Quarterly Recovery Index by Industry (Pre-COVID Baseline = 100)</t>
  </si>
  <si>
    <t>Quarter</t>
  </si>
  <si>
    <t>Hospitality
&amp; Tourism</t>
  </si>
  <si>
    <t>Retail</t>
  </si>
  <si>
    <t>F&amp;B /
Restaurants</t>
  </si>
  <si>
    <t>Events &amp;
Entertainment</t>
  </si>
  <si>
    <t>Quarter
Average</t>
  </si>
  <si>
    <t>Recovery Status</t>
  </si>
  <si>
    <t>Q1 2020</t>
  </si>
  <si>
    <t>🟢 Strong</t>
  </si>
  <si>
    <t>Q2 2020</t>
  </si>
  <si>
    <t>🔴 Critical</t>
  </si>
  <si>
    <t>Q3 2020</t>
  </si>
  <si>
    <t>🟠 Struggling</t>
  </si>
  <si>
    <t>Q4 2020</t>
  </si>
  <si>
    <t>Q1 2021</t>
  </si>
  <si>
    <t>Q2 2021</t>
  </si>
  <si>
    <t>Q3 2021</t>
  </si>
  <si>
    <t>🟡 Recovering</t>
  </si>
  <si>
    <t>Q4 2021</t>
  </si>
  <si>
    <t>Q1 2022</t>
  </si>
  <si>
    <t>Q2 2022</t>
  </si>
  <si>
    <t xml:space="preserve">  TABLE 8 — STATISTICAL SUMMARY ACROSS RECOVERY DATA</t>
  </si>
  <si>
    <t>Hospitality</t>
  </si>
  <si>
    <t>Mfg</t>
  </si>
  <si>
    <t>F&amp;B</t>
  </si>
  <si>
    <t>Events</t>
  </si>
  <si>
    <t>All Avg</t>
  </si>
  <si>
    <t>MIN — Worst Quarter</t>
  </si>
  <si>
    <t>MAX — Best Quarter</t>
  </si>
  <si>
    <t>AVERAGE — All Qtrs</t>
  </si>
  <si>
    <t>STDEV — Variability</t>
  </si>
  <si>
    <t>COUNTIF — Qtrs ≥ 80</t>
  </si>
  <si>
    <t>REVENUE LOSS DISTRIBUTION — SUB-SECTOR ANALYSIS</t>
  </si>
  <si>
    <t>2020 Revenue Impact vs Pre-COVID 2019  |  Airline Loss Corrected to $630B per Word Report</t>
  </si>
  <si>
    <t xml:space="preserve">  TABLE 9 — Revenue Loss by Sub-Sector (USD Billion): 2019 vs 2020 vs 2022</t>
  </si>
  <si>
    <t>2019 Revenue
($B)</t>
  </si>
  <si>
    <t>2020 Revenue
($B)</t>
  </si>
  <si>
    <t>Revenue Lost
($B)</t>
  </si>
  <si>
    <t>Loss Rate
(%)</t>
  </si>
  <si>
    <t>Share of
Total Loss (%)</t>
  </si>
  <si>
    <t>2022 Recovery
($B)</t>
  </si>
  <si>
    <t>Recovery Gap
($B)</t>
  </si>
  <si>
    <t>Recovery
Rate (%)</t>
  </si>
  <si>
    <t>Restaurants &amp; Food Service</t>
  </si>
  <si>
    <t>GRAND TOTAL</t>
  </si>
  <si>
    <t>100.0%</t>
  </si>
  <si>
    <t>FORMULA MASTER REFERENCE SHEET</t>
  </si>
  <si>
    <t>Every Excel Formula Used in This Workbook  |  COVID-19 Economic Impact Tracker</t>
  </si>
  <si>
    <t>MATHEMATICAL &amp; STATISTICAL</t>
  </si>
  <si>
    <t>Formula Name</t>
  </si>
  <si>
    <t>Syntax</t>
  </si>
  <si>
    <t>Example</t>
  </si>
  <si>
    <t>Description</t>
  </si>
  <si>
    <t> =SUM(range)</t>
  </si>
  <si>
    <t> =SUM(C6:C12)</t>
  </si>
  <si>
    <t>Adds all numbers in a range</t>
  </si>
  <si>
    <t> =AVERAGE(range)</t>
  </si>
  <si>
    <t> =AVERAGE(C6:C12)</t>
  </si>
  <si>
    <t>Calculates arithmetic mean</t>
  </si>
  <si>
    <t> =MIN(range)</t>
  </si>
  <si>
    <t>Smallest value in range</t>
  </si>
  <si>
    <t> =MAX(range)</t>
  </si>
  <si>
    <t>Largest value in range</t>
  </si>
  <si>
    <t> =MEDIAN(range)</t>
  </si>
  <si>
    <t> =MEDIAN(C6:C12)</t>
  </si>
  <si>
    <t>Middle value when sorted</t>
  </si>
  <si>
    <t> =STDEV(range)</t>
  </si>
  <si>
    <t> =STDEV(C6:C12)</t>
  </si>
  <si>
    <t>Standard deviation of a sample</t>
  </si>
  <si>
    <t> =COUNT(range)</t>
  </si>
  <si>
    <t>Count of numeric cells</t>
  </si>
  <si>
    <t> =COUNTA(range)</t>
  </si>
  <si>
    <t>Count all non-empty cells</t>
  </si>
  <si>
    <t> =LARGE(range, n)</t>
  </si>
  <si>
    <t> =LARGE(C6:C12, 2)</t>
  </si>
  <si>
    <t>Returns nth largest value</t>
  </si>
  <si>
    <t> =SMALL(range, n)</t>
  </si>
  <si>
    <t> =SMALL(C6:C12, 2)</t>
  </si>
  <si>
    <t>Returns nth smallest value</t>
  </si>
  <si>
    <t> =ROUND(number, digits)</t>
  </si>
  <si>
    <t> =ROUND(B6/C6, 2)</t>
  </si>
  <si>
    <t>Round to n decimal places</t>
  </si>
  <si>
    <t> =ABS(number)</t>
  </si>
  <si>
    <t> =ABS(E10 - D10)</t>
  </si>
  <si>
    <t>Returns absolute (positive) value</t>
  </si>
  <si>
    <t> =MOD(number, divisor)</t>
  </si>
  <si>
    <t> =MOD(A6, 2)</t>
  </si>
  <si>
    <t>Returns remainder after division</t>
  </si>
  <si>
    <t> =POWER(number, power)</t>
  </si>
  <si>
    <t> =POWER(1.05, 10)</t>
  </si>
  <si>
    <t>Raises number to a power</t>
  </si>
  <si>
    <t> =SQRT(number)</t>
  </si>
  <si>
    <t> =SQRT(B6)</t>
  </si>
  <si>
    <t>Square root of a number</t>
  </si>
  <si>
    <t>LOGICAL &amp; CONDITIONAL</t>
  </si>
  <si>
    <t> =IF(cond, TRUE(), FALSE())</t>
  </si>
  <si>
    <t> =IF(E10&lt;50, "Critical", "OK")</t>
  </si>
  <si>
    <t>Returns value based on one condition</t>
  </si>
  <si>
    <t> =ifs(C1,V1, C2,V2, ...)</t>
  </si>
  <si>
    <t> =ifs(B6&gt;80,"Strong",B6&gt;50,"OK","Weak")</t>
  </si>
  <si>
    <t>Multiple condition branches</t>
  </si>
  <si>
    <t> =IFERROR(expr, value)</t>
  </si>
  <si>
    <t>Catches errors — returns fallback</t>
  </si>
  <si>
    <t> =ifna(expr, value)</t>
  </si>
  <si>
    <t> =ifna(VLOOKUP(A1,B:C,2,0), 0)</t>
  </si>
  <si>
    <t>Catches NA errors specifically — use when lookup may return no match</t>
  </si>
  <si>
    <t> =AND(cond1, cond2, ...)</t>
  </si>
  <si>
    <t> =AND(B6&gt;0, C6&gt;100)</t>
  </si>
  <si>
    <t>TRUE only if ALL conditions are met</t>
  </si>
  <si>
    <t> =OR(cond1, cond2, ...)</t>
  </si>
  <si>
    <t> =OR(B6&gt;100, C6&gt;100)</t>
  </si>
  <si>
    <t>TRUE if ANY condition is met</t>
  </si>
  <si>
    <t> =NOT(condition)</t>
  </si>
  <si>
    <t> =NOT(A6=0)</t>
  </si>
  <si>
    <t>Reverses TRUE to FALSE</t>
  </si>
  <si>
    <t> =switch(expr, V1, R1, ..)</t>
  </si>
  <si>
    <t> =switch(A6, "2020","COVID", "Normal")</t>
  </si>
  <si>
    <t>Match a value against a list</t>
  </si>
  <si>
    <t>COUNTING &amp; SUMMING</t>
  </si>
  <si>
    <t> =COUNTIF(range, crit)</t>
  </si>
  <si>
    <t> =COUNTIF(J6:J12, "High")</t>
  </si>
  <si>
    <t>Count cells matching one criterion</t>
  </si>
  <si>
    <t> =COUNTIFS(A6:A12,"Hotels",J:J,"High")</t>
  </si>
  <si>
    <t>Count with multiple criteria</t>
  </si>
  <si>
    <t> =SUMIF(range, crit, sum)</t>
  </si>
  <si>
    <t> =SUMIF(A6:A12, "Hotels", D6:D12)</t>
  </si>
  <si>
    <t>Sum values meeting one criterion</t>
  </si>
  <si>
    <t> =SUMIFS(sum, R1,C1, ...)</t>
  </si>
  <si>
    <t>Sum with multiple criteria</t>
  </si>
  <si>
    <t> =AVERAGEIF(r, crit, avg)</t>
  </si>
  <si>
    <t> =AVERAGEIF(J6:J12, "High", D6:D12)</t>
  </si>
  <si>
    <t>Average of cells meeting a criterion</t>
  </si>
  <si>
    <t> =AVERAGEIFS(avg, r,c,...)</t>
  </si>
  <si>
    <t> =AVERAGEIFS(D6:D12, J6:J12, "High")</t>
  </si>
  <si>
    <t>Average with multiple criteria</t>
  </si>
  <si>
    <t> =maxifs(max_r, r, crit)</t>
  </si>
  <si>
    <t> =maxifs(D6:D12, A6:A12, "Hotels")</t>
  </si>
  <si>
    <t>Maximum value matching criteria</t>
  </si>
  <si>
    <t> =minifs(min_r, r, crit)</t>
  </si>
  <si>
    <t> =minifs(D6:D12, A6:A12, "Hotels")</t>
  </si>
  <si>
    <t>Minimum value matching criteria</t>
  </si>
  <si>
    <t> =SUBTOTAL(fn, range)</t>
  </si>
  <si>
    <t> =SUBTOTAL(9, C6:C12)</t>
  </si>
  <si>
    <t>Aggregate that ignores filtered rows</t>
  </si>
  <si>
    <t>LOOKUP &amp; REFERENCE</t>
  </si>
  <si>
    <t> =VLOOKUP(val, tbl, col,0)</t>
  </si>
  <si>
    <t> =VLOOKUP(A6, A$6:G$12, 3, 0)</t>
  </si>
  <si>
    <t>Vertical lookup in a table</t>
  </si>
  <si>
    <t> =HLOOKUP(val, tbl, row,0)</t>
  </si>
  <si>
    <t> =HLOOKUP(2020, A$5:H$12, 3, 0)</t>
  </si>
  <si>
    <t>Horizontal lookup in a table</t>
  </si>
  <si>
    <t> =INDEX(array, row, col)</t>
  </si>
  <si>
    <t>Returns value at a given position</t>
  </si>
  <si>
    <t> =MATCH(val, range, 0)</t>
  </si>
  <si>
    <t> =MATCH(MAX(D6:D12), D6:D12, 0)</t>
  </si>
  <si>
    <t>Returns position of a match</t>
  </si>
  <si>
    <t> =index + MATCH(combined)</t>
  </si>
  <si>
    <t> =INDEX(A6:A12, MATCH(MAX(D6:D12),D6:D12,0))</t>
  </si>
  <si>
    <t>Two-way flexible lookup</t>
  </si>
  <si>
    <t> =OFFSET(ref, rows, cols)</t>
  </si>
  <si>
    <t> =OFFSET(A1, 2, 3)</t>
  </si>
  <si>
    <t>Range shifted by a given offset</t>
  </si>
  <si>
    <t> =INDIRECT(ref_text)</t>
  </si>
  <si>
    <t> =INDIRECT("Sheet1!B6")</t>
  </si>
  <si>
    <t>Reference built from a text string</t>
  </si>
  <si>
    <t> =CHOOSE(index, V1, V2, …))</t>
  </si>
  <si>
    <t> =CHOOSE(2, "Low", "Med", "High")</t>
  </si>
  <si>
    <t>Choose nth value from a list</t>
  </si>
  <si>
    <t> =xlookup(val, range, ret)</t>
  </si>
  <si>
    <t> =xlookup(A6, A$6:A$12, D$6:D$12)</t>
  </si>
  <si>
    <t>Modern flexible lookup (Excel 365)</t>
  </si>
  <si>
    <t>FINANCIAL &amp; GROWTH</t>
  </si>
  <si>
    <t>% Change formula</t>
  </si>
  <si>
    <t> =(new - old) / ABS(old)</t>
  </si>
  <si>
    <t>Standard percentage change calculation</t>
  </si>
  <si>
    <t>CAGR formula</t>
  </si>
  <si>
    <t> =(end / start)^(1/n) - 1</t>
  </si>
  <si>
    <t>Compound Annual Growth Rate over n yrs</t>
  </si>
  <si>
    <t> =NPV(rate, values)</t>
  </si>
  <si>
    <t> =NPV(0.1, B6:B12)</t>
  </si>
  <si>
    <t>Net present value of cash flows</t>
  </si>
  <si>
    <t> =IRR(values)</t>
  </si>
  <si>
    <t> =IRR(B6:B12)</t>
  </si>
  <si>
    <t>Internal rate of return</t>
  </si>
  <si>
    <t> =PMT(rate, nper, pv)</t>
  </si>
  <si>
    <t> =PMT(0.05/12, 60, -10000)</t>
  </si>
  <si>
    <t>Payment for a loan or annuity</t>
  </si>
  <si>
    <t> =FV(rate, nper, pmt)</t>
  </si>
  <si>
    <t> =FV(0.05, 10, -1000)</t>
  </si>
  <si>
    <t>Future value of an investment</t>
  </si>
  <si>
    <t> =PV(rate, nper, pmt)</t>
  </si>
  <si>
    <t> =PV(0.05, 10, -1000)</t>
  </si>
  <si>
    <t>Present value of an investment</t>
  </si>
  <si>
    <t> =RATE(nper, pmt, pv)</t>
  </si>
  <si>
    <t> =RATE(60, -200, 10000)</t>
  </si>
  <si>
    <t>Interest rate per period</t>
  </si>
  <si>
    <t>FORECASTING &amp; ANALYTICS</t>
  </si>
  <si>
    <t> =forecast.linear(x, y,xr)</t>
  </si>
  <si>
    <t> =forecast.linear(2024, C6:C12, A6:A12)</t>
  </si>
  <si>
    <t>Linear trend forecast for a future point</t>
  </si>
  <si>
    <t> =TREND(y, x, new_x)</t>
  </si>
  <si>
    <t> =TREND(C6:C12, A6:A12, {2024})</t>
  </si>
  <si>
    <t>Array of linear trend values</t>
  </si>
  <si>
    <t> =GROWTH(y, x, new_x)</t>
  </si>
  <si>
    <t> =GROWTH(C6:C12, A6:A12, {2024})</t>
  </si>
  <si>
    <t>Exponential growth forecast</t>
  </si>
  <si>
    <t> =CORREL(array1, array2)</t>
  </si>
  <si>
    <t> =CORREL(B6:B12, C6:C12)</t>
  </si>
  <si>
    <t>Correlation coefficient (–1 to +1)</t>
  </si>
  <si>
    <t> =percentrank.inc(arr, x)</t>
  </si>
  <si>
    <t> =percentrank.inc(B6:B12, B6)</t>
  </si>
  <si>
    <t>Percentile rank of a value (0 to 1)</t>
  </si>
  <si>
    <t> =RANK(val, range, 0)</t>
  </si>
  <si>
    <t> =RANK(B6, B$6:B$12, 0)</t>
  </si>
  <si>
    <t>Rank in descending order</t>
  </si>
  <si>
    <t> =rank.eq(val, range, 1)</t>
  </si>
  <si>
    <t> =rank.eq(C6, C$6:C$12, 1)</t>
  </si>
  <si>
    <t>Rank ascending — ties are equal</t>
  </si>
  <si>
    <t> =FREQUENCY(data, bins)</t>
  </si>
  <si>
    <t> =FREQUENCY(C6:C12, {300,500,700})</t>
  </si>
  <si>
    <t>Frequency distribution across bins</t>
  </si>
  <si>
    <t>TEXT &amp; DATE FUNCTIONS</t>
  </si>
  <si>
    <t> =CONCATENATE(a, b, …)))</t>
  </si>
  <si>
    <t> =CONCATENATE(A6, " — ", B6)</t>
  </si>
  <si>
    <t>Joins text strings together</t>
  </si>
  <si>
    <t> =TEXT(number, format)</t>
  </si>
  <si>
    <t> =TEXT(B6, "$#,##0")</t>
  </si>
  <si>
    <t>Formats a number as text</t>
  </si>
  <si>
    <t> =LEFT(text, n)</t>
  </si>
  <si>
    <t> =LEFT(A6, 5)</t>
  </si>
  <si>
    <t>Returns first n characters</t>
  </si>
  <si>
    <t> =RIGHT(text, n)</t>
  </si>
  <si>
    <t> =RIGHT(A6, 4)</t>
  </si>
  <si>
    <t>Returns last n characters</t>
  </si>
  <si>
    <t> =MID(text, start, n)</t>
  </si>
  <si>
    <t> =MID(A6, 3, 4)</t>
  </si>
  <si>
    <t>Returns n characters from a position</t>
  </si>
  <si>
    <t> =LEN(text)</t>
  </si>
  <si>
    <t> =LEN(A6)</t>
  </si>
  <si>
    <t>Returns string length in characters</t>
  </si>
  <si>
    <t> =TRIM(text)</t>
  </si>
  <si>
    <t> =TRIM(A6)</t>
  </si>
  <si>
    <t>Removes extra spaces from text</t>
  </si>
  <si>
    <t> =upper / lower / proper</t>
  </si>
  <si>
    <t> =PROPER(A6)</t>
  </si>
  <si>
    <t>Converts text to upper/lower/title case</t>
  </si>
  <si>
    <t> =FIND(find_text, within)</t>
  </si>
  <si>
    <t> =FIND("COVID", A6)</t>
  </si>
  <si>
    <t>Returns position of text in a string</t>
  </si>
  <si>
    <t> =TODAY()</t>
  </si>
  <si>
    <t>Returns today's date</t>
  </si>
  <si>
    <t> =YEAR(date)</t>
  </si>
  <si>
    <t> =YEAR(TODAY())</t>
  </si>
  <si>
    <t>Extracts the year from a date</t>
  </si>
  <si>
    <t> =MONTH(date)</t>
  </si>
  <si>
    <t> =MONTH(TODAY())</t>
  </si>
  <si>
    <t>Extracts the month number from a date</t>
  </si>
  <si>
    <t> =DATEDIF(D1, D2, unit)</t>
  </si>
  <si>
    <t> =DATEDIF(A6, TODAY(), "Y")</t>
  </si>
  <si>
    <t>Calculates difference between two dates</t>
  </si>
  <si>
    <t>Research Report  |  Khushbu Yadav  |  UID: 23BSC10001  |  Section: 23BSC-1(A)  |  Subject: Data Interpretation</t>
  </si>
  <si>
    <t xml:space="preserve">  TABLE 6 — Government Financial Relief Measures  </t>
  </si>
  <si>
    <t xml:space="preserve">  TABLE 1 — Annual GDP Growth Rate &amp; Industry Revenue (USD Billion)  </t>
  </si>
  <si>
    <t xml:space="preserve">SUM </t>
  </si>
  <si>
    <t xml:space="preserve">AVERAGE </t>
  </si>
  <si>
    <t xml:space="preserve">MIN </t>
  </si>
  <si>
    <t xml:space="preserve">MAX </t>
  </si>
  <si>
    <t xml:space="preserve">STDEV </t>
  </si>
  <si>
    <t xml:space="preserve">COUNT </t>
  </si>
  <si>
    <t>LARGE</t>
  </si>
  <si>
    <t>SMALL</t>
  </si>
  <si>
    <t xml:space="preserve"> Hotel vs GDP</t>
  </si>
  <si>
    <t xml:space="preserve"> 2019 → 2023</t>
  </si>
  <si>
    <t xml:space="preserve"> 2024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</si>
</sst>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;\(0.0%\);\-"/>
    <numFmt numFmtId="165" formatCode="0.0\%"/>
    <numFmt numFmtId="166" formatCode="#,##0.0"/>
    <numFmt numFmtId="167" formatCode="#,##0.000"/>
    <numFmt numFmtId="168" formatCode="0.0%"/>
    <numFmt numFmtId="169" formatCode="0.000"/>
    <numFmt numFmtId="170" formatCode="\+0.0;\-0.0;\-"/>
    <numFmt numFmtId="171" formatCode="0\%"/>
    <numFmt numFmtId="172" formatCode="0.0"/>
    <numFmt numFmtId="173" formatCode="\$#,##0"/>
    <numFmt numFmtId="174" formatCode="[$$-409]#,##0.00;[Red]\-[$$-409]#,##0.00"/>
    <numFmt numFmtId="175" formatCode="mm/dd/yy"/>
  </numFmts>
  <fonts count="2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404040"/>
      <name val="Arial"/>
      <charset val="1"/>
    </font>
    <font>
      <b/>
      <sz val="13"/>
      <color rgb="FFC00000"/>
      <name val="Arial"/>
      <charset val="1"/>
    </font>
    <font>
      <b/>
      <sz val="13"/>
      <color rgb="FF375623"/>
      <name val="Arial"/>
      <charset val="1"/>
    </font>
    <font>
      <b/>
      <sz val="13"/>
      <color rgb="FFC7A535"/>
      <name val="Arial"/>
      <charset val="1"/>
    </font>
    <font>
      <b/>
      <sz val="10"/>
      <color rgb="FFFFFFFF"/>
      <name val="Arial"/>
      <charset val="1"/>
    </font>
    <font>
      <b/>
      <sz val="10"/>
      <color rgb="FF404040"/>
      <name val="Arial"/>
      <charset val="1"/>
    </font>
    <font>
      <sz val="10"/>
      <color rgb="FF404040"/>
      <name val="Arial"/>
      <charset val="1"/>
    </font>
    <font>
      <b/>
      <sz val="10"/>
      <color rgb="FFC00000"/>
      <name val="Arial"/>
      <charset val="1"/>
    </font>
    <font>
      <b/>
      <sz val="9"/>
      <color rgb="FFC00000"/>
      <name val="Arial"/>
      <charset val="1"/>
    </font>
    <font>
      <b/>
      <sz val="10"/>
      <color rgb="FF375623"/>
      <name val="Arial"/>
      <charset val="1"/>
    </font>
    <font>
      <b/>
      <sz val="9"/>
      <color rgb="FF375623"/>
      <name val="Arial"/>
      <charset val="1"/>
    </font>
    <font>
      <sz val="9"/>
      <color rgb="FF404040"/>
      <name val="Arial"/>
      <charset val="1"/>
    </font>
    <font>
      <sz val="10"/>
      <color rgb="FF375623"/>
      <name val="Arial"/>
      <charset val="1"/>
    </font>
    <font>
      <sz val="10"/>
      <color rgb="FFC00000"/>
      <name val="Arial"/>
      <charset val="1"/>
    </font>
    <font>
      <b/>
      <sz val="9"/>
      <color rgb="FFE07B39"/>
      <name val="Arial"/>
      <charset val="1"/>
    </font>
    <font>
      <b/>
      <sz val="9"/>
      <color rgb="FFC7A535"/>
      <name val="Arial"/>
      <charset val="1"/>
    </font>
    <font>
      <b/>
      <sz val="10"/>
      <color rgb="FF1F4E79"/>
      <name val="Arial"/>
      <charset val="1"/>
    </font>
    <font>
      <b/>
      <sz val="10"/>
      <color rgb="FF2E7D32"/>
      <name val="Arial"/>
      <charset val="1"/>
    </font>
    <font>
      <b/>
      <sz val="10"/>
      <color rgb="FFC7A535"/>
      <name val="Arial"/>
      <charset val="1"/>
    </font>
    <font>
      <i/>
      <sz val="9"/>
      <color rgb="FF666666"/>
      <name val="Arial"/>
      <charset val="1"/>
    </font>
    <font>
      <b/>
      <sz val="9"/>
      <color rgb="FFFFFFFF"/>
      <name val="Arial"/>
      <charset val="1"/>
    </font>
    <font>
      <b/>
      <sz val="9"/>
      <color rgb="FF1F4E79"/>
      <name val="Courier New"/>
      <charset val="1"/>
    </font>
    <font>
      <sz val="9"/>
      <color rgb="FF8B0000"/>
      <name val="Courier New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86AB"/>
        <bgColor rgb="FF4F81BD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9F9F9"/>
      </patternFill>
    </fill>
  </fills>
  <borders count="7">
    <border>
      <left/>
      <right/>
      <top/>
      <bottom/>
      <diagonal/>
    </border>
    <border>
      <left style="medium">
        <color rgb="FF2E86AB"/>
      </left>
      <right/>
      <top style="medium">
        <color rgb="FF2E86AB"/>
      </top>
      <bottom style="thin">
        <color rgb="FFBFBFBF"/>
      </bottom>
      <diagonal/>
    </border>
    <border>
      <left style="medium">
        <color rgb="FF2E86AB"/>
      </left>
      <right style="medium">
        <color rgb="FF2E86AB"/>
      </right>
      <top style="medium">
        <color rgb="FF2E86AB"/>
      </top>
      <bottom style="thin">
        <color rgb="FFBFBFBF"/>
      </bottom>
      <diagonal/>
    </border>
    <border>
      <left style="medium">
        <color rgb="FF2E86AB"/>
      </left>
      <right/>
      <top style="thin">
        <color rgb="FFBFBFBF"/>
      </top>
      <bottom style="medium">
        <color rgb="FF2E86AB"/>
      </bottom>
      <diagonal/>
    </border>
    <border>
      <left style="medium">
        <color rgb="FF2E86AB"/>
      </left>
      <right style="medium">
        <color rgb="FF2E86AB"/>
      </right>
      <top style="thin">
        <color rgb="FFBFBFBF"/>
      </top>
      <bottom style="medium">
        <color rgb="FF2E86A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center" vertical="center" wrapText="1"/>
    </xf>
    <xf numFmtId="4" fontId="9" fillId="7" borderId="5" xfId="0" applyNumberFormat="1" applyFont="1" applyFill="1" applyBorder="1" applyAlignment="1">
      <alignment horizontal="center" vertical="center" wrapText="1"/>
    </xf>
    <xf numFmtId="164" fontId="10" fillId="7" borderId="5" xfId="0" applyNumberFormat="1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center" vertical="center" wrapText="1"/>
    </xf>
    <xf numFmtId="4" fontId="9" fillId="8" borderId="5" xfId="0" applyNumberFormat="1" applyFont="1" applyFill="1" applyBorder="1" applyAlignment="1">
      <alignment horizontal="center" vertical="center" wrapText="1"/>
    </xf>
    <xf numFmtId="164" fontId="10" fillId="8" borderId="5" xfId="0" applyNumberFormat="1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164" fontId="12" fillId="8" borderId="5" xfId="0" applyNumberFormat="1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165" fontId="12" fillId="7" borderId="5" xfId="0" applyNumberFormat="1" applyFont="1" applyFill="1" applyBorder="1" applyAlignment="1">
      <alignment horizontal="center" vertical="center" wrapText="1"/>
    </xf>
    <xf numFmtId="3" fontId="9" fillId="7" borderId="5" xfId="0" applyNumberFormat="1" applyFont="1" applyFill="1" applyBorder="1" applyAlignment="1">
      <alignment horizontal="center" vertical="center" wrapText="1"/>
    </xf>
    <xf numFmtId="2" fontId="9" fillId="7" borderId="5" xfId="0" applyNumberFormat="1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left" vertical="center" wrapText="1"/>
    </xf>
    <xf numFmtId="165" fontId="12" fillId="8" borderId="5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 vertical="center" wrapText="1"/>
    </xf>
    <xf numFmtId="164" fontId="15" fillId="8" borderId="5" xfId="0" applyNumberFormat="1" applyFont="1" applyFill="1" applyBorder="1" applyAlignment="1">
      <alignment horizontal="center" vertical="center" wrapText="1"/>
    </xf>
    <xf numFmtId="2" fontId="9" fillId="8" borderId="5" xfId="0" applyNumberFormat="1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left" vertical="center" wrapText="1"/>
    </xf>
    <xf numFmtId="164" fontId="15" fillId="7" borderId="5" xfId="0" applyNumberFormat="1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5" fontId="10" fillId="4" borderId="5" xfId="0" applyNumberFormat="1" applyFont="1" applyFill="1" applyBorder="1" applyAlignment="1">
      <alignment horizontal="center" vertical="center" wrapText="1"/>
    </xf>
    <xf numFmtId="3" fontId="9" fillId="4" borderId="5" xfId="0" applyNumberFormat="1" applyFont="1" applyFill="1" applyBorder="1" applyAlignment="1">
      <alignment horizontal="center" vertical="center" wrapText="1"/>
    </xf>
    <xf numFmtId="164" fontId="16" fillId="4" borderId="5" xfId="0" applyNumberFormat="1" applyFont="1" applyFill="1" applyBorder="1" applyAlignment="1">
      <alignment horizontal="center" vertical="center" wrapText="1"/>
    </xf>
    <xf numFmtId="2" fontId="9" fillId="4" borderId="5" xfId="0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left" vertical="center" wrapText="1"/>
    </xf>
    <xf numFmtId="166" fontId="9" fillId="7" borderId="5" xfId="0" applyNumberFormat="1" applyFont="1" applyFill="1" applyBorder="1" applyAlignment="1">
      <alignment horizontal="center" vertical="center" wrapText="1"/>
    </xf>
    <xf numFmtId="167" fontId="9" fillId="7" borderId="5" xfId="0" applyNumberFormat="1" applyFont="1" applyFill="1" applyBorder="1" applyAlignment="1">
      <alignment horizontal="center" vertical="center" wrapText="1"/>
    </xf>
    <xf numFmtId="166" fontId="9" fillId="8" borderId="5" xfId="0" applyNumberFormat="1" applyFont="1" applyFill="1" applyBorder="1" applyAlignment="1">
      <alignment horizontal="center" vertical="center" wrapText="1"/>
    </xf>
    <xf numFmtId="167" fontId="9" fillId="8" borderId="5" xfId="0" applyNumberFormat="1" applyFont="1" applyFill="1" applyBorder="1" applyAlignment="1">
      <alignment horizontal="center" vertical="center" wrapText="1"/>
    </xf>
    <xf numFmtId="168" fontId="9" fillId="8" borderId="5" xfId="0" applyNumberFormat="1" applyFont="1" applyFill="1" applyBorder="1" applyAlignment="1">
      <alignment horizontal="center" vertical="center" wrapText="1"/>
    </xf>
    <xf numFmtId="169" fontId="9" fillId="7" borderId="5" xfId="0" applyNumberFormat="1" applyFont="1" applyFill="1" applyBorder="1" applyAlignment="1">
      <alignment horizontal="center" vertical="center" wrapText="1"/>
    </xf>
    <xf numFmtId="1" fontId="9" fillId="7" borderId="5" xfId="0" applyNumberFormat="1" applyFont="1" applyFill="1" applyBorder="1" applyAlignment="1">
      <alignment horizontal="center" vertical="center" wrapText="1"/>
    </xf>
    <xf numFmtId="164" fontId="9" fillId="8" borderId="5" xfId="0" applyNumberFormat="1" applyFont="1" applyFill="1" applyBorder="1" applyAlignment="1">
      <alignment horizontal="center" vertical="center" wrapText="1"/>
    </xf>
    <xf numFmtId="164" fontId="9" fillId="7" borderId="5" xfId="0" applyNumberFormat="1" applyFont="1" applyFill="1" applyBorder="1" applyAlignment="1">
      <alignment horizontal="center" vertical="center" wrapText="1"/>
    </xf>
    <xf numFmtId="165" fontId="9" fillId="7" borderId="5" xfId="0" applyNumberFormat="1" applyFont="1" applyFill="1" applyBorder="1" applyAlignment="1">
      <alignment horizontal="center" vertical="center" wrapText="1"/>
    </xf>
    <xf numFmtId="170" fontId="10" fillId="7" borderId="5" xfId="0" applyNumberFormat="1" applyFont="1" applyFill="1" applyBorder="1" applyAlignment="1">
      <alignment horizontal="center" vertical="center" wrapText="1"/>
    </xf>
    <xf numFmtId="170" fontId="12" fillId="7" borderId="5" xfId="0" applyNumberFormat="1" applyFont="1" applyFill="1" applyBorder="1" applyAlignment="1">
      <alignment horizontal="center" vertical="center" wrapText="1"/>
    </xf>
    <xf numFmtId="165" fontId="9" fillId="8" borderId="5" xfId="0" applyNumberFormat="1" applyFont="1" applyFill="1" applyBorder="1" applyAlignment="1">
      <alignment horizontal="center" vertical="center" wrapText="1"/>
    </xf>
    <xf numFmtId="170" fontId="10" fillId="8" borderId="5" xfId="0" applyNumberFormat="1" applyFont="1" applyFill="1" applyBorder="1" applyAlignment="1">
      <alignment horizontal="center" vertical="center" wrapText="1"/>
    </xf>
    <xf numFmtId="170" fontId="12" fillId="8" borderId="5" xfId="0" applyNumberFormat="1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166" fontId="10" fillId="7" borderId="5" xfId="0" applyNumberFormat="1" applyFont="1" applyFill="1" applyBorder="1" applyAlignment="1">
      <alignment horizontal="center" vertical="center" wrapText="1"/>
    </xf>
    <xf numFmtId="166" fontId="12" fillId="7" borderId="5" xfId="0" applyNumberFormat="1" applyFont="1" applyFill="1" applyBorder="1" applyAlignment="1">
      <alignment horizontal="center" vertical="center" wrapText="1"/>
    </xf>
    <xf numFmtId="166" fontId="10" fillId="8" borderId="5" xfId="0" applyNumberFormat="1" applyFont="1" applyFill="1" applyBorder="1" applyAlignment="1">
      <alignment horizontal="center" vertical="center" wrapText="1"/>
    </xf>
    <xf numFmtId="166" fontId="12" fillId="8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166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71" fontId="9" fillId="7" borderId="5" xfId="0" applyNumberFormat="1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171" fontId="9" fillId="8" borderId="5" xfId="0" applyNumberFormat="1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center" vertical="center" wrapText="1"/>
    </xf>
    <xf numFmtId="172" fontId="7" fillId="2" borderId="5" xfId="0" applyNumberFormat="1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173" fontId="9" fillId="7" borderId="5" xfId="0" applyNumberFormat="1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173" fontId="9" fillId="8" borderId="5" xfId="0" applyNumberFormat="1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73" fontId="7" fillId="2" borderId="5" xfId="0" applyNumberFormat="1" applyFont="1" applyFill="1" applyBorder="1" applyAlignment="1">
      <alignment horizontal="center" vertical="center" wrapText="1"/>
    </xf>
    <xf numFmtId="172" fontId="12" fillId="7" borderId="5" xfId="0" applyNumberFormat="1" applyFont="1" applyFill="1" applyBorder="1" applyAlignment="1">
      <alignment horizontal="center" vertical="center" wrapText="1"/>
    </xf>
    <xf numFmtId="172" fontId="9" fillId="7" borderId="5" xfId="0" applyNumberFormat="1" applyFont="1" applyFill="1" applyBorder="1" applyAlignment="1">
      <alignment horizontal="center" vertical="center" wrapText="1"/>
    </xf>
    <xf numFmtId="172" fontId="10" fillId="8" borderId="5" xfId="0" applyNumberFormat="1" applyFont="1" applyFill="1" applyBorder="1" applyAlignment="1">
      <alignment horizontal="center" vertical="center" wrapText="1"/>
    </xf>
    <xf numFmtId="172" fontId="21" fillId="8" borderId="5" xfId="0" applyNumberFormat="1" applyFont="1" applyFill="1" applyBorder="1" applyAlignment="1">
      <alignment horizontal="center" vertical="center" wrapText="1"/>
    </xf>
    <xf numFmtId="172" fontId="9" fillId="8" borderId="5" xfId="0" applyNumberFormat="1" applyFont="1" applyFill="1" applyBorder="1" applyAlignment="1">
      <alignment horizontal="center" vertical="center" wrapText="1"/>
    </xf>
    <xf numFmtId="172" fontId="21" fillId="7" borderId="5" xfId="0" applyNumberFormat="1" applyFont="1" applyFill="1" applyBorder="1" applyAlignment="1">
      <alignment horizontal="center" vertical="center" wrapText="1"/>
    </xf>
    <xf numFmtId="172" fontId="10" fillId="7" borderId="5" xfId="0" applyNumberFormat="1" applyFont="1" applyFill="1" applyBorder="1" applyAlignment="1">
      <alignment horizontal="center" vertical="center" wrapText="1"/>
    </xf>
    <xf numFmtId="172" fontId="12" fillId="8" borderId="5" xfId="0" applyNumberFormat="1" applyFont="1" applyFill="1" applyBorder="1" applyAlignment="1">
      <alignment horizontal="center" vertical="center" wrapText="1"/>
    </xf>
    <xf numFmtId="173" fontId="10" fillId="7" borderId="5" xfId="0" applyNumberFormat="1" applyFont="1" applyFill="1" applyBorder="1" applyAlignment="1">
      <alignment horizontal="center" vertical="center" wrapText="1"/>
    </xf>
    <xf numFmtId="173" fontId="10" fillId="8" borderId="5" xfId="0" applyNumberFormat="1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horizontal="left" vertical="center" wrapText="1"/>
    </xf>
    <xf numFmtId="0" fontId="25" fillId="7" borderId="5" xfId="0" applyFont="1" applyFill="1" applyBorder="1" applyAlignment="1">
      <alignment horizontal="left" vertical="center" wrapText="1"/>
    </xf>
    <xf numFmtId="0" fontId="24" fillId="8" borderId="5" xfId="0" applyFont="1" applyFill="1" applyBorder="1" applyAlignment="1">
      <alignment horizontal="left" vertical="center" wrapText="1"/>
    </xf>
    <xf numFmtId="0" fontId="25" fillId="8" borderId="5" xfId="0" applyFont="1" applyFill="1" applyBorder="1" applyAlignment="1">
      <alignment horizontal="left" vertical="center" wrapText="1"/>
    </xf>
    <xf numFmtId="174" fontId="25" fillId="7" borderId="5" xfId="0" applyNumberFormat="1" applyFont="1" applyFill="1" applyBorder="1" applyAlignment="1">
      <alignment horizontal="left" vertical="center" wrapText="1"/>
    </xf>
    <xf numFmtId="10" fontId="25" fillId="8" borderId="5" xfId="0" applyNumberFormat="1" applyFont="1" applyFill="1" applyBorder="1" applyAlignment="1">
      <alignment horizontal="left" vertical="center" wrapText="1"/>
    </xf>
    <xf numFmtId="174" fontId="25" fillId="8" borderId="5" xfId="0" applyNumberFormat="1" applyFont="1" applyFill="1" applyBorder="1" applyAlignment="1">
      <alignment horizontal="left" vertical="center" wrapText="1"/>
    </xf>
    <xf numFmtId="175" fontId="24" fillId="8" borderId="5" xfId="0" applyNumberFormat="1" applyFont="1" applyFill="1" applyBorder="1" applyAlignment="1">
      <alignment horizontal="left" vertical="center" wrapText="1"/>
    </xf>
    <xf numFmtId="175" fontId="25" fillId="8" borderId="5" xfId="0" applyNumberFormat="1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2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2E7D32"/>
      <rgbColor rgb="FF000080"/>
      <rgbColor rgb="FF808000"/>
      <rgbColor rgb="FF800080"/>
      <rgbColor rgb="FF2E86AB"/>
      <rgbColor rgb="FFBFBFBF"/>
      <rgbColor rgb="FF878787"/>
      <rgbColor rgb="FF9999FF"/>
      <rgbColor rgb="FF9B59B6"/>
      <rgbColor rgb="FFFFF2CC"/>
      <rgbColor rgb="FFEBF3FB"/>
      <rgbColor rgb="FF6A0572"/>
      <rgbColor rgb="FFE07B3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CE4D6"/>
      <rgbColor rgb="FF4F81BD"/>
      <rgbColor rgb="FF33CCCC"/>
      <rgbColor rgb="FF8AC926"/>
      <rgbColor rgb="FFFFBE0B"/>
      <rgbColor rgb="FFC7A535"/>
      <rgbColor rgb="FFFF6B35"/>
      <rgbColor rgb="FF666666"/>
      <rgbColor rgb="FF969696"/>
      <rgbColor rgb="FF003366"/>
      <rgbColor rgb="FF28A745"/>
      <rgbColor rgb="FF003300"/>
      <rgbColor rgb="FF375623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Global GDP Growth Rate (%) — 2017 to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'GDP &amp; Revenue'!$B$5</c:f>
              <c:strCache>
                <c:ptCount val="1"/>
                <c:pt idx="0">
                  <c:v>GDP Growth
(%)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'GDP &amp; Revenue'!$A$6:$A$12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'GDP &amp; Revenue'!$B$6:$B$12</c:f>
              <c:numCache>
                <c:formatCode>0.0\%</c:formatCode>
                <c:ptCount val="7"/>
                <c:pt idx="0">
                  <c:v>2.2999999999999998</c:v>
                </c:pt>
                <c:pt idx="1">
                  <c:v>3</c:v>
                </c:pt>
                <c:pt idx="2">
                  <c:v>2.5</c:v>
                </c:pt>
                <c:pt idx="3">
                  <c:v>-3.4</c:v>
                </c:pt>
                <c:pt idx="4">
                  <c:v>5.7</c:v>
                </c:pt>
                <c:pt idx="5">
                  <c:v>3.4</c:v>
                </c:pt>
                <c:pt idx="6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9-4241-B7EA-89D67A670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05123"/>
        <c:axId val="74688718"/>
      </c:barChart>
      <c:catAx>
        <c:axId val="476051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688718"/>
        <c:crosses val="autoZero"/>
        <c:auto val="1"/>
        <c:lblAlgn val="ctr"/>
        <c:lblOffset val="100"/>
        <c:noMultiLvlLbl val="0"/>
      </c:catAx>
      <c:valAx>
        <c:axId val="74688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GDP Growth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6051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Hotel vs. Airline Revenue Trend (USD Billion)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'GDP &amp; Revenue'!$C$5</c:f>
              <c:strCache>
                <c:ptCount val="1"/>
                <c:pt idx="0">
                  <c:v>Hotel Revenue
($B)</c:v>
                </c:pt>
              </c:strCache>
            </c:strRef>
          </c:tx>
          <c:spPr>
            <a:ln w="2808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'GDP &amp; Revenue'!$A$6:$A$12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'GDP &amp; Revenue'!$C$6:$C$12</c:f>
              <c:numCache>
                <c:formatCode>#,##0</c:formatCode>
                <c:ptCount val="7"/>
                <c:pt idx="0">
                  <c:v>570</c:v>
                </c:pt>
                <c:pt idx="1">
                  <c:v>612</c:v>
                </c:pt>
                <c:pt idx="2">
                  <c:v>651</c:v>
                </c:pt>
                <c:pt idx="3">
                  <c:v>295</c:v>
                </c:pt>
                <c:pt idx="4">
                  <c:v>390</c:v>
                </c:pt>
                <c:pt idx="5">
                  <c:v>522</c:v>
                </c:pt>
                <c:pt idx="6">
                  <c:v>630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E4-40BC-A06E-7ACC2AF8C1FB}"/>
            </c:ext>
          </c:extLst>
        </c:ser>
        <c:ser>
          <c:idx val="1"/>
          <c:order val="1"/>
          <c:tx>
            <c:strRef>
              <c:f>'GDP &amp; Revenue'!$D$5</c:f>
              <c:strCache>
                <c:ptCount val="1"/>
                <c:pt idx="0">
                  <c:v>Airline Revenue
($B)</c:v>
                </c:pt>
              </c:strCache>
            </c:strRef>
          </c:tx>
          <c:spPr>
            <a:ln w="28080">
              <a:solidFill>
                <a:srgbClr val="E07B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'GDP &amp; Revenue'!$A$6:$A$12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'GDP &amp; Revenue'!$D$6:$D$12</c:f>
              <c:numCache>
                <c:formatCode>#,##0</c:formatCode>
                <c:ptCount val="7"/>
                <c:pt idx="0">
                  <c:v>820</c:v>
                </c:pt>
                <c:pt idx="1">
                  <c:v>860</c:v>
                </c:pt>
                <c:pt idx="2">
                  <c:v>901</c:v>
                </c:pt>
                <c:pt idx="3">
                  <c:v>271</c:v>
                </c:pt>
                <c:pt idx="4">
                  <c:v>437</c:v>
                </c:pt>
                <c:pt idx="5">
                  <c:v>580</c:v>
                </c:pt>
                <c:pt idx="6">
                  <c:v>755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E4-40BC-A06E-7ACC2AF8C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179953"/>
        <c:axId val="6466175"/>
      </c:lineChart>
      <c:catAx>
        <c:axId val="381799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66175"/>
        <c:crosses val="autoZero"/>
        <c:auto val="1"/>
        <c:lblAlgn val="ctr"/>
        <c:lblOffset val="100"/>
        <c:noMultiLvlLbl val="0"/>
      </c:catAx>
      <c:valAx>
        <c:axId val="64661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1799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Unemployment Rate by Industry: </a:t>
            </a:r>
          </a:p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Pre-COVID vs Peak vs Recovery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'Employment Tracker'!$B$5</c:f>
              <c:strCache>
                <c:ptCount val="1"/>
                <c:pt idx="0">
                  <c:v>2019
Pre-COVID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Tracker'!$A$6:$A$11</c:f>
              <c:strCache>
                <c:ptCount val="6"/>
                <c:pt idx="0">
                  <c:v>Hospitality &amp; Tourism</c:v>
                </c:pt>
                <c:pt idx="1">
                  <c:v>Retail &amp; Commerce</c:v>
                </c:pt>
                <c:pt idx="2">
                  <c:v>Manufacturing</c:v>
                </c:pt>
                <c:pt idx="3">
                  <c:v>Healthcare</c:v>
                </c:pt>
                <c:pt idx="4">
                  <c:v>Technology</c:v>
                </c:pt>
                <c:pt idx="5">
                  <c:v>Education</c:v>
                </c:pt>
              </c:strCache>
            </c:strRef>
          </c:cat>
          <c:val>
            <c:numRef>
              <c:f>'Employment Tracker'!$B$6:$B$11</c:f>
              <c:numCache>
                <c:formatCode>0.0\%</c:formatCode>
                <c:ptCount val="6"/>
                <c:pt idx="0">
                  <c:v>4.5</c:v>
                </c:pt>
                <c:pt idx="1">
                  <c:v>4.8</c:v>
                </c:pt>
                <c:pt idx="2">
                  <c:v>3.9</c:v>
                </c:pt>
                <c:pt idx="3">
                  <c:v>2.1</c:v>
                </c:pt>
                <c:pt idx="4">
                  <c:v>1.8</c:v>
                </c:pt>
                <c:pt idx="5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F-44D1-9778-CAEB2BB4C965}"/>
            </c:ext>
          </c:extLst>
        </c:ser>
        <c:ser>
          <c:idx val="1"/>
          <c:order val="1"/>
          <c:tx>
            <c:strRef>
              <c:f>'Employment Tracker'!$C$5</c:f>
              <c:strCache>
                <c:ptCount val="1"/>
                <c:pt idx="0">
                  <c:v>Q2 2020
Peak COVID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Tracker'!$A$6:$A$11</c:f>
              <c:strCache>
                <c:ptCount val="6"/>
                <c:pt idx="0">
                  <c:v>Hospitality &amp; Tourism</c:v>
                </c:pt>
                <c:pt idx="1">
                  <c:v>Retail &amp; Commerce</c:v>
                </c:pt>
                <c:pt idx="2">
                  <c:v>Manufacturing</c:v>
                </c:pt>
                <c:pt idx="3">
                  <c:v>Healthcare</c:v>
                </c:pt>
                <c:pt idx="4">
                  <c:v>Technology</c:v>
                </c:pt>
                <c:pt idx="5">
                  <c:v>Education</c:v>
                </c:pt>
              </c:strCache>
            </c:strRef>
          </c:cat>
          <c:val>
            <c:numRef>
              <c:f>'Employment Tracker'!$C$6:$C$11</c:f>
              <c:numCache>
                <c:formatCode>0.0\%</c:formatCode>
                <c:ptCount val="6"/>
                <c:pt idx="0">
                  <c:v>24.5</c:v>
                </c:pt>
                <c:pt idx="1">
                  <c:v>17.8</c:v>
                </c:pt>
                <c:pt idx="2">
                  <c:v>13.2</c:v>
                </c:pt>
                <c:pt idx="3">
                  <c:v>5.4</c:v>
                </c:pt>
                <c:pt idx="4">
                  <c:v>3.2</c:v>
                </c:pt>
                <c:pt idx="5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FF-44D1-9778-CAEB2BB4C965}"/>
            </c:ext>
          </c:extLst>
        </c:ser>
        <c:ser>
          <c:idx val="2"/>
          <c:order val="2"/>
          <c:tx>
            <c:strRef>
              <c:f>'Employment Tracker'!$E$5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28A74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Tracker'!$A$6:$A$11</c:f>
              <c:strCache>
                <c:ptCount val="6"/>
                <c:pt idx="0">
                  <c:v>Hospitality &amp; Tourism</c:v>
                </c:pt>
                <c:pt idx="1">
                  <c:v>Retail &amp; Commerce</c:v>
                </c:pt>
                <c:pt idx="2">
                  <c:v>Manufacturing</c:v>
                </c:pt>
                <c:pt idx="3">
                  <c:v>Healthcare</c:v>
                </c:pt>
                <c:pt idx="4">
                  <c:v>Technology</c:v>
                </c:pt>
                <c:pt idx="5">
                  <c:v>Education</c:v>
                </c:pt>
              </c:strCache>
            </c:strRef>
          </c:cat>
          <c:val>
            <c:numRef>
              <c:f>'Employment Tracker'!$E$6:$E$11</c:f>
              <c:numCache>
                <c:formatCode>0.0\%</c:formatCode>
                <c:ptCount val="6"/>
                <c:pt idx="0">
                  <c:v>6.2</c:v>
                </c:pt>
                <c:pt idx="1">
                  <c:v>6.5</c:v>
                </c:pt>
                <c:pt idx="2">
                  <c:v>5.0999999999999996</c:v>
                </c:pt>
                <c:pt idx="3">
                  <c:v>2.5</c:v>
                </c:pt>
                <c:pt idx="4">
                  <c:v>2</c:v>
                </c:pt>
                <c:pt idx="5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FF-44D1-9778-CAEB2BB4C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05737"/>
        <c:axId val="58587917"/>
      </c:barChart>
      <c:catAx>
        <c:axId val="471057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587917"/>
        <c:crosses val="autoZero"/>
        <c:auto val="1"/>
        <c:lblAlgn val="ctr"/>
        <c:lblOffset val="100"/>
        <c:noMultiLvlLbl val="0"/>
      </c:catAx>
      <c:valAx>
        <c:axId val="585879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1057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Sub-Sector Employment Trend (Million Workers)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'Employment Tracker'!$B$16</c:f>
              <c:strCache>
                <c:ptCount val="1"/>
                <c:pt idx="0">
                  <c:v>2019
Pre-COVID</c:v>
                </c:pt>
              </c:strCache>
            </c:strRef>
          </c:tx>
          <c:spPr>
            <a:ln w="2196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Tracker'!$A$17:$A$21</c:f>
              <c:strCache>
                <c:ptCount val="5"/>
                <c:pt idx="0">
                  <c:v>Hotels &amp; Accommodation</c:v>
                </c:pt>
                <c:pt idx="1">
                  <c:v>Airlines &amp; Air Travel</c:v>
                </c:pt>
                <c:pt idx="2">
                  <c:v>Restaurants &amp; Food Svc</c:v>
                </c:pt>
                <c:pt idx="3">
                  <c:v>Events &amp; Entertainment</c:v>
                </c:pt>
                <c:pt idx="4">
                  <c:v>Travel Agencies</c:v>
                </c:pt>
              </c:strCache>
            </c:strRef>
          </c:cat>
          <c:val>
            <c:numRef>
              <c:f>'Employment Tracker'!$B$17:$B$21</c:f>
              <c:numCache>
                <c:formatCode>#,##0.0</c:formatCode>
                <c:ptCount val="5"/>
                <c:pt idx="0">
                  <c:v>16.399999999999999</c:v>
                </c:pt>
                <c:pt idx="1">
                  <c:v>11.2</c:v>
                </c:pt>
                <c:pt idx="2">
                  <c:v>54</c:v>
                </c:pt>
                <c:pt idx="3">
                  <c:v>8.6</c:v>
                </c:pt>
                <c:pt idx="4">
                  <c:v>6.3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D0-4E6C-89C9-406C72B1ECDD}"/>
            </c:ext>
          </c:extLst>
        </c:ser>
        <c:ser>
          <c:idx val="1"/>
          <c:order val="1"/>
          <c:tx>
            <c:strRef>
              <c:f>'Employment Tracker'!$C$16</c:f>
              <c:strCache>
                <c:ptCount val="1"/>
                <c:pt idx="0">
                  <c:v>2020
Peak Impact</c:v>
                </c:pt>
              </c:strCache>
            </c:strRef>
          </c:tx>
          <c:spPr>
            <a:ln w="21960">
              <a:solidFill>
                <a:srgbClr val="E07B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Tracker'!$A$17:$A$21</c:f>
              <c:strCache>
                <c:ptCount val="5"/>
                <c:pt idx="0">
                  <c:v>Hotels &amp; Accommodation</c:v>
                </c:pt>
                <c:pt idx="1">
                  <c:v>Airlines &amp; Air Travel</c:v>
                </c:pt>
                <c:pt idx="2">
                  <c:v>Restaurants &amp; Food Svc</c:v>
                </c:pt>
                <c:pt idx="3">
                  <c:v>Events &amp; Entertainment</c:v>
                </c:pt>
                <c:pt idx="4">
                  <c:v>Travel Agencies</c:v>
                </c:pt>
              </c:strCache>
            </c:strRef>
          </c:cat>
          <c:val>
            <c:numRef>
              <c:f>'Employment Tracker'!$C$17:$C$21</c:f>
              <c:numCache>
                <c:formatCode>#,##0.0</c:formatCode>
                <c:ptCount val="5"/>
                <c:pt idx="0">
                  <c:v>9.1999999999999993</c:v>
                </c:pt>
                <c:pt idx="1">
                  <c:v>5.8</c:v>
                </c:pt>
                <c:pt idx="2">
                  <c:v>32.5</c:v>
                </c:pt>
                <c:pt idx="3">
                  <c:v>2.1</c:v>
                </c:pt>
                <c:pt idx="4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BD0-4E6C-89C9-406C72B1ECDD}"/>
            </c:ext>
          </c:extLst>
        </c:ser>
        <c:ser>
          <c:idx val="2"/>
          <c:order val="2"/>
          <c:tx>
            <c:strRef>
              <c:f>'Employment Tracker'!$D$16</c:f>
              <c:strCache>
                <c:ptCount val="1"/>
                <c:pt idx="0">
                  <c:v>2021</c:v>
                </c:pt>
              </c:strCache>
            </c:strRef>
          </c:tx>
          <c:spPr>
            <a:ln w="21960">
              <a:solidFill>
                <a:srgbClr val="28A7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Tracker'!$A$17:$A$21</c:f>
              <c:strCache>
                <c:ptCount val="5"/>
                <c:pt idx="0">
                  <c:v>Hotels &amp; Accommodation</c:v>
                </c:pt>
                <c:pt idx="1">
                  <c:v>Airlines &amp; Air Travel</c:v>
                </c:pt>
                <c:pt idx="2">
                  <c:v>Restaurants &amp; Food Svc</c:v>
                </c:pt>
                <c:pt idx="3">
                  <c:v>Events &amp; Entertainment</c:v>
                </c:pt>
                <c:pt idx="4">
                  <c:v>Travel Agencies</c:v>
                </c:pt>
              </c:strCache>
            </c:strRef>
          </c:cat>
          <c:val>
            <c:numRef>
              <c:f>'Employment Tracker'!$D$17:$D$21</c:f>
              <c:numCache>
                <c:formatCode>#,##0.0</c:formatCode>
                <c:ptCount val="5"/>
                <c:pt idx="0">
                  <c:v>11.8</c:v>
                </c:pt>
                <c:pt idx="1">
                  <c:v>7.4</c:v>
                </c:pt>
                <c:pt idx="2">
                  <c:v>42</c:v>
                </c:pt>
                <c:pt idx="3">
                  <c:v>4.5</c:v>
                </c:pt>
                <c:pt idx="4">
                  <c:v>4.2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BD0-4E6C-89C9-406C72B1ECDD}"/>
            </c:ext>
          </c:extLst>
        </c:ser>
        <c:ser>
          <c:idx val="3"/>
          <c:order val="3"/>
          <c:tx>
            <c:strRef>
              <c:f>'Employment Tracker'!$E$16</c:f>
              <c:strCache>
                <c:ptCount val="1"/>
                <c:pt idx="0">
                  <c:v>2022</c:v>
                </c:pt>
              </c:strCache>
            </c:strRef>
          </c:tx>
          <c:spPr>
            <a:ln w="21960">
              <a:solidFill>
                <a:srgbClr val="9B59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'Employment Tracker'!$A$17:$A$21</c:f>
              <c:strCache>
                <c:ptCount val="5"/>
                <c:pt idx="0">
                  <c:v>Hotels &amp; Accommodation</c:v>
                </c:pt>
                <c:pt idx="1">
                  <c:v>Airlines &amp; Air Travel</c:v>
                </c:pt>
                <c:pt idx="2">
                  <c:v>Restaurants &amp; Food Svc</c:v>
                </c:pt>
                <c:pt idx="3">
                  <c:v>Events &amp; Entertainment</c:v>
                </c:pt>
                <c:pt idx="4">
                  <c:v>Travel Agencies</c:v>
                </c:pt>
              </c:strCache>
            </c:strRef>
          </c:cat>
          <c:val>
            <c:numRef>
              <c:f>'Employment Tracker'!$E$17:$E$21</c:f>
              <c:numCache>
                <c:formatCode>#,##0.0</c:formatCode>
                <c:ptCount val="5"/>
                <c:pt idx="0">
                  <c:v>14.5</c:v>
                </c:pt>
                <c:pt idx="1">
                  <c:v>9.6</c:v>
                </c:pt>
                <c:pt idx="2">
                  <c:v>50.1</c:v>
                </c:pt>
                <c:pt idx="3">
                  <c:v>7</c:v>
                </c:pt>
                <c:pt idx="4">
                  <c:v>5.8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BD0-4E6C-89C9-406C72B1E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832779"/>
        <c:axId val="21809024"/>
      </c:lineChart>
      <c:catAx>
        <c:axId val="788327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09024"/>
        <c:crosses val="autoZero"/>
        <c:auto val="1"/>
        <c:lblAlgn val="ctr"/>
        <c:lblOffset val="100"/>
        <c:noMultiLvlLbl val="0"/>
      </c:catAx>
      <c:valAx>
        <c:axId val="21809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Employment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8327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Government Relief Packages — Hospitality Share ($B) 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'Business Closures &amp; Relief'!$F$16</c:f>
              <c:strCache>
                <c:ptCount val="1"/>
                <c:pt idx="0">
                  <c:v>Hospitality
Share ($B)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'Business Closures &amp; Relief'!$A$17:$A$21</c:f>
              <c:strCache>
                <c:ptCount val="5"/>
                <c:pt idx="0">
                  <c:v>United States</c:v>
                </c:pt>
                <c:pt idx="1">
                  <c:v>European Union</c:v>
                </c:pt>
                <c:pt idx="2">
                  <c:v>United Kingdom</c:v>
                </c:pt>
                <c:pt idx="3">
                  <c:v>India</c:v>
                </c:pt>
                <c:pt idx="4">
                  <c:v>UAE / Middle East</c:v>
                </c:pt>
              </c:strCache>
            </c:strRef>
          </c:cat>
          <c:val>
            <c:numRef>
              <c:f>'Business Closures &amp; Relief'!$F$17:$F$21</c:f>
              <c:numCache>
                <c:formatCode>\$#,##0</c:formatCode>
                <c:ptCount val="5"/>
                <c:pt idx="0">
                  <c:v>135</c:v>
                </c:pt>
                <c:pt idx="1">
                  <c:v>120</c:v>
                </c:pt>
                <c:pt idx="2">
                  <c:v>22</c:v>
                </c:pt>
                <c:pt idx="3">
                  <c:v>18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8-4378-B24A-6E4C4AA52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39650"/>
        <c:axId val="3767339"/>
      </c:barChart>
      <c:catAx>
        <c:axId val="1443965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 Billion (Hospitality Share)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67339"/>
        <c:crosses val="autoZero"/>
        <c:auto val="1"/>
        <c:lblAlgn val="ctr"/>
        <c:lblOffset val="100"/>
        <c:noMultiLvlLbl val="0"/>
      </c:catAx>
      <c:valAx>
        <c:axId val="376733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439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Quarterly Recovery Index by Industry (Pre-COVID Baseline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'Recovery Tracker'!$B$5</c:f>
              <c:strCache>
                <c:ptCount val="1"/>
                <c:pt idx="0">
                  <c:v>Hospitality
&amp; Tourism</c:v>
                </c:pt>
              </c:strCache>
            </c:strRef>
          </c:tx>
          <c:spPr>
            <a:ln w="2196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Tracker'!$B$6:$B$15</c:f>
              <c:numCache>
                <c:formatCode>0.0</c:formatCode>
                <c:ptCount val="10"/>
                <c:pt idx="0">
                  <c:v>85</c:v>
                </c:pt>
                <c:pt idx="1">
                  <c:v>35</c:v>
                </c:pt>
                <c:pt idx="2">
                  <c:v>52</c:v>
                </c:pt>
                <c:pt idx="3">
                  <c:v>45</c:v>
                </c:pt>
                <c:pt idx="4">
                  <c:v>48</c:v>
                </c:pt>
                <c:pt idx="5">
                  <c:v>60</c:v>
                </c:pt>
                <c:pt idx="6">
                  <c:v>70</c:v>
                </c:pt>
                <c:pt idx="7">
                  <c:v>75</c:v>
                </c:pt>
                <c:pt idx="8">
                  <c:v>82</c:v>
                </c:pt>
                <c:pt idx="9">
                  <c:v>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DB-44F9-9DEA-5A9D8279D05B}"/>
            </c:ext>
          </c:extLst>
        </c:ser>
        <c:ser>
          <c:idx val="1"/>
          <c:order val="1"/>
          <c:tx>
            <c:strRef>
              <c:f>'Recovery Tracker'!$C$5</c:f>
              <c:strCache>
                <c:ptCount val="1"/>
                <c:pt idx="0">
                  <c:v>Retail</c:v>
                </c:pt>
              </c:strCache>
            </c:strRef>
          </c:tx>
          <c:spPr>
            <a:ln w="21960">
              <a:solidFill>
                <a:srgbClr val="28A7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Tracker'!$C$6:$C$15</c:f>
              <c:numCache>
                <c:formatCode>0.0</c:formatCode>
                <c:ptCount val="10"/>
                <c:pt idx="0">
                  <c:v>88</c:v>
                </c:pt>
                <c:pt idx="1">
                  <c:v>60</c:v>
                </c:pt>
                <c:pt idx="2">
                  <c:v>82</c:v>
                </c:pt>
                <c:pt idx="3">
                  <c:v>86</c:v>
                </c:pt>
                <c:pt idx="4">
                  <c:v>84</c:v>
                </c:pt>
                <c:pt idx="5">
                  <c:v>89</c:v>
                </c:pt>
                <c:pt idx="6">
                  <c:v>93</c:v>
                </c:pt>
                <c:pt idx="7">
                  <c:v>95</c:v>
                </c:pt>
                <c:pt idx="8">
                  <c:v>97</c:v>
                </c:pt>
                <c:pt idx="9">
                  <c:v>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DB-44F9-9DEA-5A9D8279D05B}"/>
            </c:ext>
          </c:extLst>
        </c:ser>
        <c:ser>
          <c:idx val="2"/>
          <c:order val="2"/>
          <c:tx>
            <c:strRef>
              <c:f>'Recovery Tracker'!$D$5</c:f>
              <c:strCache>
                <c:ptCount val="1"/>
                <c:pt idx="0">
                  <c:v>Manufacturing</c:v>
                </c:pt>
              </c:strCache>
            </c:strRef>
          </c:tx>
          <c:spPr>
            <a:ln w="21960">
              <a:solidFill>
                <a:srgbClr val="E07B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Tracker'!$D$6:$D$15</c:f>
              <c:numCache>
                <c:formatCode>0.0</c:formatCode>
                <c:ptCount val="10"/>
                <c:pt idx="0">
                  <c:v>90</c:v>
                </c:pt>
                <c:pt idx="1">
                  <c:v>55</c:v>
                </c:pt>
                <c:pt idx="2">
                  <c:v>72</c:v>
                </c:pt>
                <c:pt idx="3">
                  <c:v>75</c:v>
                </c:pt>
                <c:pt idx="4">
                  <c:v>78</c:v>
                </c:pt>
                <c:pt idx="5">
                  <c:v>84</c:v>
                </c:pt>
                <c:pt idx="6">
                  <c:v>90</c:v>
                </c:pt>
                <c:pt idx="7">
                  <c:v>93</c:v>
                </c:pt>
                <c:pt idx="8">
                  <c:v>96</c:v>
                </c:pt>
                <c:pt idx="9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8DB-44F9-9DEA-5A9D8279D05B}"/>
            </c:ext>
          </c:extLst>
        </c:ser>
        <c:ser>
          <c:idx val="3"/>
          <c:order val="3"/>
          <c:tx>
            <c:strRef>
              <c:f>'Recovery Tracker'!$E$5</c:f>
              <c:strCache>
                <c:ptCount val="1"/>
                <c:pt idx="0">
                  <c:v>Airlines</c:v>
                </c:pt>
              </c:strCache>
            </c:strRef>
          </c:tx>
          <c:spPr>
            <a:ln w="21960">
              <a:solidFill>
                <a:srgbClr val="9B59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Tracker'!$E$6:$E$15</c:f>
              <c:numCache>
                <c:formatCode>0.0</c:formatCode>
                <c:ptCount val="10"/>
                <c:pt idx="0">
                  <c:v>82</c:v>
                </c:pt>
                <c:pt idx="1">
                  <c:v>28</c:v>
                </c:pt>
                <c:pt idx="2">
                  <c:v>45</c:v>
                </c:pt>
                <c:pt idx="3">
                  <c:v>40</c:v>
                </c:pt>
                <c:pt idx="4">
                  <c:v>42</c:v>
                </c:pt>
                <c:pt idx="5">
                  <c:v>52</c:v>
                </c:pt>
                <c:pt idx="6">
                  <c:v>62</c:v>
                </c:pt>
                <c:pt idx="7">
                  <c:v>68</c:v>
                </c:pt>
                <c:pt idx="8">
                  <c:v>75</c:v>
                </c:pt>
                <c:pt idx="9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8DB-44F9-9DEA-5A9D8279D05B}"/>
            </c:ext>
          </c:extLst>
        </c:ser>
        <c:ser>
          <c:idx val="4"/>
          <c:order val="4"/>
          <c:tx>
            <c:strRef>
              <c:f>'Recovery Tracker'!$F$5</c:f>
              <c:strCache>
                <c:ptCount val="1"/>
                <c:pt idx="0">
                  <c:v>F&amp;B /
Restaurants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Tracker'!$F$6:$F$15</c:f>
              <c:numCache>
                <c:formatCode>0.0</c:formatCode>
                <c:ptCount val="10"/>
                <c:pt idx="0">
                  <c:v>80</c:v>
                </c:pt>
                <c:pt idx="1">
                  <c:v>25</c:v>
                </c:pt>
                <c:pt idx="2">
                  <c:v>40</c:v>
                </c:pt>
                <c:pt idx="3">
                  <c:v>35</c:v>
                </c:pt>
                <c:pt idx="4">
                  <c:v>38</c:v>
                </c:pt>
                <c:pt idx="5">
                  <c:v>50</c:v>
                </c:pt>
                <c:pt idx="6">
                  <c:v>65</c:v>
                </c:pt>
                <c:pt idx="7">
                  <c:v>72</c:v>
                </c:pt>
                <c:pt idx="8">
                  <c:v>79</c:v>
                </c:pt>
                <c:pt idx="9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8DB-44F9-9DEA-5A9D8279D05B}"/>
            </c:ext>
          </c:extLst>
        </c:ser>
        <c:ser>
          <c:idx val="5"/>
          <c:order val="5"/>
          <c:tx>
            <c:strRef>
              <c:f>'Recovery Tracker'!$G$5</c:f>
              <c:strCache>
                <c:ptCount val="1"/>
                <c:pt idx="0">
                  <c:v>Events &amp;
Entertainment</c:v>
                </c:pt>
              </c:strCache>
            </c:strRef>
          </c:tx>
          <c:spPr>
            <a:ln w="21960">
              <a:solidFill>
                <a:srgbClr val="C7A5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'Recovery Tracker'!$A$6:$A$15</c:f>
              <c:strCache>
                <c:ptCount val="10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</c:strCache>
            </c:strRef>
          </c:cat>
          <c:val>
            <c:numRef>
              <c:f>'Recovery Tracker'!$G$6:$G$15</c:f>
              <c:numCache>
                <c:formatCode>0.0</c:formatCode>
                <c:ptCount val="10"/>
                <c:pt idx="0">
                  <c:v>75</c:v>
                </c:pt>
                <c:pt idx="1">
                  <c:v>10</c:v>
                </c:pt>
                <c:pt idx="2">
                  <c:v>22</c:v>
                </c:pt>
                <c:pt idx="3">
                  <c:v>18</c:v>
                </c:pt>
                <c:pt idx="4">
                  <c:v>25</c:v>
                </c:pt>
                <c:pt idx="5">
                  <c:v>35</c:v>
                </c:pt>
                <c:pt idx="6">
                  <c:v>48</c:v>
                </c:pt>
                <c:pt idx="7">
                  <c:v>58</c:v>
                </c:pt>
                <c:pt idx="8">
                  <c:v>68</c:v>
                </c:pt>
                <c:pt idx="9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8DB-44F9-9DEA-5A9D8279D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884411"/>
        <c:axId val="92035007"/>
      </c:lineChart>
      <c:catAx>
        <c:axId val="298844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035007"/>
        <c:crosses val="autoZero"/>
        <c:auto val="1"/>
        <c:lblAlgn val="ctr"/>
        <c:lblOffset val="100"/>
        <c:noMultiLvlLbl val="0"/>
      </c:catAx>
      <c:valAx>
        <c:axId val="92035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Recovery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8844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Loss Distribution by Sub-Sector (2020)  |  Airline = $630B Loss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'Revenue Loss Breakdown'!$D$5</c:f>
              <c:strCache>
                <c:ptCount val="1"/>
                <c:pt idx="0">
                  <c:v>Revenue Lost
($B)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E86A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DDA-4DC5-A8B9-C22ACA06EB83}"/>
              </c:ext>
            </c:extLst>
          </c:dPt>
          <c:dPt>
            <c:idx val="1"/>
            <c:bubble3D val="0"/>
            <c:spPr>
              <a:solidFill>
                <a:srgbClr val="FF6B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DDA-4DC5-A8B9-C22ACA06EB83}"/>
              </c:ext>
            </c:extLst>
          </c:dPt>
          <c:dPt>
            <c:idx val="2"/>
            <c:bubble3D val="0"/>
            <c:spPr>
              <a:solidFill>
                <a:srgbClr val="FFBE0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DDA-4DC5-A8B9-C22ACA06EB83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DDA-4DC5-A8B9-C22ACA06EB83}"/>
              </c:ext>
            </c:extLst>
          </c:dPt>
          <c:dPt>
            <c:idx val="4"/>
            <c:bubble3D val="0"/>
            <c:spPr>
              <a:solidFill>
                <a:srgbClr val="8AC92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DDA-4DC5-A8B9-C22ACA06EB83}"/>
              </c:ext>
            </c:extLst>
          </c:dPt>
          <c:dPt>
            <c:idx val="5"/>
            <c:bubble3D val="0"/>
            <c:spPr>
              <a:solidFill>
                <a:srgbClr val="6A057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6DDA-4DC5-A8B9-C22ACA06EB8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DA-4DC5-A8B9-C22ACA06EB8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DA-4DC5-A8B9-C22ACA06EB8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DA-4DC5-A8B9-C22ACA06EB8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DA-4DC5-A8B9-C22ACA06EB8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DA-4DC5-A8B9-C22ACA06EB8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DA-4DC5-A8B9-C22ACA06EB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'Revenue Loss Breakdown'!$A$6:$A$11</c:f>
              <c:strCache>
                <c:ptCount val="6"/>
                <c:pt idx="0">
                  <c:v>Hotels &amp; Resorts</c:v>
                </c:pt>
                <c:pt idx="1">
                  <c:v>Airlines</c:v>
                </c:pt>
                <c:pt idx="2">
                  <c:v>Restaurants &amp; Food Service</c:v>
                </c:pt>
                <c:pt idx="3">
                  <c:v>Events &amp; Entertainment</c:v>
                </c:pt>
                <c:pt idx="4">
                  <c:v>Travel Agencies</c:v>
                </c:pt>
                <c:pt idx="5">
                  <c:v>Cruise Lines</c:v>
                </c:pt>
              </c:strCache>
            </c:strRef>
          </c:cat>
          <c:val>
            <c:numRef>
              <c:f>'Revenue Loss Breakdown'!$D$6:$D$11</c:f>
              <c:numCache>
                <c:formatCode>\$#,##0</c:formatCode>
                <c:ptCount val="6"/>
                <c:pt idx="0">
                  <c:v>356</c:v>
                </c:pt>
                <c:pt idx="1">
                  <c:v>630</c:v>
                </c:pt>
                <c:pt idx="2">
                  <c:v>418</c:v>
                </c:pt>
                <c:pt idx="3">
                  <c:v>262</c:v>
                </c:pt>
                <c:pt idx="4">
                  <c:v>128</c:v>
                </c:pt>
                <c:pt idx="5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DDA-4DC5-A8B9-C22ACA06E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Comparison: 2019 vs 2020 vs 2022 (USD Billion)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Loss Breakdown'!$B$5</c:f>
              <c:strCache>
                <c:ptCount val="1"/>
                <c:pt idx="0">
                  <c:v>2019 Revenue
($B)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Loss Breakdown'!$A$6:$A$11</c:f>
              <c:strCache>
                <c:ptCount val="6"/>
                <c:pt idx="0">
                  <c:v>Hotels &amp; Resorts</c:v>
                </c:pt>
                <c:pt idx="1">
                  <c:v>Airlines</c:v>
                </c:pt>
                <c:pt idx="2">
                  <c:v>Restaurants &amp; Food Service</c:v>
                </c:pt>
                <c:pt idx="3">
                  <c:v>Events &amp; Entertainment</c:v>
                </c:pt>
                <c:pt idx="4">
                  <c:v>Travel Agencies</c:v>
                </c:pt>
                <c:pt idx="5">
                  <c:v>Cruise Lines</c:v>
                </c:pt>
              </c:strCache>
            </c:strRef>
          </c:cat>
          <c:val>
            <c:numRef>
              <c:f>'Revenue Loss Breakdown'!$B$6:$B$11</c:f>
              <c:numCache>
                <c:formatCode>\$#,##0</c:formatCode>
                <c:ptCount val="6"/>
                <c:pt idx="0">
                  <c:v>651</c:v>
                </c:pt>
                <c:pt idx="1">
                  <c:v>901</c:v>
                </c:pt>
                <c:pt idx="2">
                  <c:v>850</c:v>
                </c:pt>
                <c:pt idx="3">
                  <c:v>320</c:v>
                </c:pt>
                <c:pt idx="4">
                  <c:v>180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1-4757-9BE2-89A07AED6271}"/>
            </c:ext>
          </c:extLst>
        </c:ser>
        <c:ser>
          <c:idx val="1"/>
          <c:order val="1"/>
          <c:tx>
            <c:strRef>
              <c:f>'Revenue Loss Breakdown'!$C$5</c:f>
              <c:strCache>
                <c:ptCount val="1"/>
                <c:pt idx="0">
                  <c:v>2020 Revenue
($B)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Loss Breakdown'!$A$6:$A$11</c:f>
              <c:strCache>
                <c:ptCount val="6"/>
                <c:pt idx="0">
                  <c:v>Hotels &amp; Resorts</c:v>
                </c:pt>
                <c:pt idx="1">
                  <c:v>Airlines</c:v>
                </c:pt>
                <c:pt idx="2">
                  <c:v>Restaurants &amp; Food Service</c:v>
                </c:pt>
                <c:pt idx="3">
                  <c:v>Events &amp; Entertainment</c:v>
                </c:pt>
                <c:pt idx="4">
                  <c:v>Travel Agencies</c:v>
                </c:pt>
                <c:pt idx="5">
                  <c:v>Cruise Lines</c:v>
                </c:pt>
              </c:strCache>
            </c:strRef>
          </c:cat>
          <c:val>
            <c:numRef>
              <c:f>'Revenue Loss Breakdown'!$C$6:$C$11</c:f>
              <c:numCache>
                <c:formatCode>\$#,##0</c:formatCode>
                <c:ptCount val="6"/>
                <c:pt idx="0">
                  <c:v>295</c:v>
                </c:pt>
                <c:pt idx="1">
                  <c:v>271</c:v>
                </c:pt>
                <c:pt idx="2">
                  <c:v>432</c:v>
                </c:pt>
                <c:pt idx="3">
                  <c:v>58</c:v>
                </c:pt>
                <c:pt idx="4">
                  <c:v>52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1-4757-9BE2-89A07AED6271}"/>
            </c:ext>
          </c:extLst>
        </c:ser>
        <c:ser>
          <c:idx val="2"/>
          <c:order val="2"/>
          <c:tx>
            <c:strRef>
              <c:f>'Revenue Loss Breakdown'!$G$5</c:f>
              <c:strCache>
                <c:ptCount val="1"/>
                <c:pt idx="0">
                  <c:v>2022 Recovery
($B)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Loss Breakdown'!$A$6:$A$11</c:f>
              <c:strCache>
                <c:ptCount val="6"/>
                <c:pt idx="0">
                  <c:v>Hotels &amp; Resorts</c:v>
                </c:pt>
                <c:pt idx="1">
                  <c:v>Airlines</c:v>
                </c:pt>
                <c:pt idx="2">
                  <c:v>Restaurants &amp; Food Service</c:v>
                </c:pt>
                <c:pt idx="3">
                  <c:v>Events &amp; Entertainment</c:v>
                </c:pt>
                <c:pt idx="4">
                  <c:v>Travel Agencies</c:v>
                </c:pt>
                <c:pt idx="5">
                  <c:v>Cruise Lines</c:v>
                </c:pt>
              </c:strCache>
            </c:strRef>
          </c:cat>
          <c:val>
            <c:numRef>
              <c:f>'Revenue Loss Breakdown'!$G$6:$G$11</c:f>
              <c:numCache>
                <c:formatCode>\$#,##0</c:formatCode>
                <c:ptCount val="6"/>
                <c:pt idx="0">
                  <c:v>522</c:v>
                </c:pt>
                <c:pt idx="1">
                  <c:v>580</c:v>
                </c:pt>
                <c:pt idx="2">
                  <c:v>765</c:v>
                </c:pt>
                <c:pt idx="3">
                  <c:v>210</c:v>
                </c:pt>
                <c:pt idx="4">
                  <c:v>138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B1-4757-9BE2-89A07AED6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508168"/>
        <c:axId val="86203043"/>
      </c:barChart>
      <c:catAx>
        <c:axId val="84508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203043"/>
        <c:crosses val="autoZero"/>
        <c:auto val="1"/>
        <c:lblAlgn val="ctr"/>
        <c:lblOffset val="100"/>
        <c:noMultiLvlLbl val="0"/>
      </c:catAx>
      <c:valAx>
        <c:axId val="862030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($B)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508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5</xdr:col>
      <xdr:colOff>107027</xdr:colOff>
      <xdr:row>53</xdr:row>
      <xdr:rowOff>126000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31</xdr:row>
      <xdr:rowOff>0</xdr:rowOff>
    </xdr:from>
    <xdr:to>
      <xdr:col>12</xdr:col>
      <xdr:colOff>300</xdr:colOff>
      <xdr:row>53</xdr:row>
      <xdr:rowOff>126000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6</xdr:col>
      <xdr:colOff>1221120</xdr:colOff>
      <xdr:row>48</xdr:row>
      <xdr:rowOff>105120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243840</xdr:colOff>
      <xdr:row>24</xdr:row>
      <xdr:rowOff>0</xdr:rowOff>
    </xdr:from>
    <xdr:to>
      <xdr:col>18</xdr:col>
      <xdr:colOff>255360</xdr:colOff>
      <xdr:row>48</xdr:row>
      <xdr:rowOff>105120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5</xdr:col>
      <xdr:colOff>7560</xdr:colOff>
      <xdr:row>50</xdr:row>
      <xdr:rowOff>105120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9</xdr:col>
      <xdr:colOff>52920</xdr:colOff>
      <xdr:row>56</xdr:row>
      <xdr:rowOff>84240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4</xdr:col>
      <xdr:colOff>697320</xdr:colOff>
      <xdr:row>55</xdr:row>
      <xdr:rowOff>84240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0</xdr:rowOff>
    </xdr:from>
    <xdr:to>
      <xdr:col>13</xdr:col>
      <xdr:colOff>99000</xdr:colOff>
      <xdr:row>55</xdr:row>
      <xdr:rowOff>84240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showGridLines="0" zoomScaleNormal="100" workbookViewId="0">
      <selection activeCell="K4" sqref="K4"/>
    </sheetView>
  </sheetViews>
  <sheetFormatPr defaultColWidth="8.6640625" defaultRowHeight="14.4" x14ac:dyDescent="0.3"/>
  <cols>
    <col min="1" max="1" width="32" customWidth="1"/>
    <col min="2" max="4" width="11" customWidth="1"/>
    <col min="5" max="5" width="14" customWidth="1"/>
    <col min="6" max="8" width="11" customWidth="1"/>
    <col min="9" max="9" width="14" customWidth="1"/>
    <col min="10" max="10" width="13" customWidth="1"/>
    <col min="11" max="11" width="16" customWidth="1"/>
  </cols>
  <sheetData>
    <row r="1" spans="1:11" ht="42" customHeight="1" x14ac:dyDescent="0.3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ht="18" customHeight="1" x14ac:dyDescent="0.3">
      <c r="A2" s="102" t="s">
        <v>424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6" customHeight="1" x14ac:dyDescent="0.3"/>
    <row r="4" spans="1:11" ht="30" customHeight="1" x14ac:dyDescent="0.3">
      <c r="A4" s="106" t="s">
        <v>1</v>
      </c>
      <c r="B4" s="106"/>
      <c r="C4" s="106" t="s">
        <v>2</v>
      </c>
      <c r="D4" s="106"/>
      <c r="E4" s="106" t="s">
        <v>3</v>
      </c>
      <c r="F4" s="106"/>
      <c r="G4" s="106" t="s">
        <v>4</v>
      </c>
      <c r="H4" s="106"/>
      <c r="I4" s="107" t="s">
        <v>5</v>
      </c>
      <c r="J4" s="107"/>
      <c r="K4" s="1" t="s">
        <v>6</v>
      </c>
    </row>
    <row r="5" spans="1:11" ht="36" customHeight="1" x14ac:dyDescent="0.3">
      <c r="A5" s="104" t="s">
        <v>7</v>
      </c>
      <c r="B5" s="104"/>
      <c r="C5" s="104" t="s">
        <v>8</v>
      </c>
      <c r="D5" s="104"/>
      <c r="E5" s="104" t="s">
        <v>9</v>
      </c>
      <c r="F5" s="104"/>
      <c r="G5" s="104" t="s">
        <v>10</v>
      </c>
      <c r="H5" s="104"/>
      <c r="I5" s="105" t="s">
        <v>11</v>
      </c>
      <c r="J5" s="105"/>
      <c r="K5" s="2" t="s">
        <v>12</v>
      </c>
    </row>
    <row r="6" spans="1:11" ht="6" customHeight="1" x14ac:dyDescent="0.3"/>
    <row r="7" spans="1:11" ht="6" customHeight="1" x14ac:dyDescent="0.3"/>
    <row r="8" spans="1:11" ht="24" customHeight="1" x14ac:dyDescent="0.3">
      <c r="A8" s="103" t="s">
        <v>13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</row>
    <row r="9" spans="1:11" ht="42" customHeight="1" x14ac:dyDescent="0.3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21</v>
      </c>
      <c r="I9" s="3" t="s">
        <v>22</v>
      </c>
      <c r="J9" s="3" t="s">
        <v>23</v>
      </c>
      <c r="K9" s="3" t="s">
        <v>24</v>
      </c>
    </row>
    <row r="10" spans="1:11" ht="21.75" customHeight="1" x14ac:dyDescent="0.3">
      <c r="A10" s="4" t="s">
        <v>25</v>
      </c>
      <c r="B10" s="5">
        <v>7.6</v>
      </c>
      <c r="C10" s="5">
        <v>8.8000000000000007</v>
      </c>
      <c r="D10" s="5">
        <v>9.6</v>
      </c>
      <c r="E10" s="5">
        <v>4.5</v>
      </c>
      <c r="F10" s="5">
        <v>5.8</v>
      </c>
      <c r="G10" s="5">
        <v>7.2</v>
      </c>
      <c r="H10" s="5">
        <v>9.1</v>
      </c>
      <c r="I10" s="6">
        <f t="shared" ref="I10:I17" si="0">E10-D10</f>
        <v>-5.0999999999999996</v>
      </c>
      <c r="J10" s="7">
        <f t="shared" ref="J10:J17" si="1">IFERROR((E10-D10)/ABS(D10),0)</f>
        <v>-0.53125</v>
      </c>
      <c r="K10" s="8" t="s">
        <v>26</v>
      </c>
    </row>
    <row r="11" spans="1:11" ht="21.75" customHeight="1" x14ac:dyDescent="0.3">
      <c r="A11" s="9" t="s">
        <v>27</v>
      </c>
      <c r="B11" s="10">
        <v>570</v>
      </c>
      <c r="C11" s="10">
        <v>612</v>
      </c>
      <c r="D11" s="10">
        <v>651</v>
      </c>
      <c r="E11" s="10">
        <v>295</v>
      </c>
      <c r="F11" s="10">
        <v>390</v>
      </c>
      <c r="G11" s="10">
        <v>522</v>
      </c>
      <c r="H11" s="10">
        <v>630</v>
      </c>
      <c r="I11" s="11">
        <f t="shared" si="0"/>
        <v>-356</v>
      </c>
      <c r="J11" s="12">
        <f t="shared" si="1"/>
        <v>-0.54685099846390173</v>
      </c>
      <c r="K11" s="13" t="s">
        <v>26</v>
      </c>
    </row>
    <row r="12" spans="1:11" ht="21.75" customHeight="1" x14ac:dyDescent="0.3">
      <c r="A12" s="4" t="s">
        <v>28</v>
      </c>
      <c r="B12" s="5">
        <v>820</v>
      </c>
      <c r="C12" s="5">
        <v>860</v>
      </c>
      <c r="D12" s="5">
        <v>901</v>
      </c>
      <c r="E12" s="5">
        <v>271</v>
      </c>
      <c r="F12" s="5">
        <v>437</v>
      </c>
      <c r="G12" s="5">
        <v>580</v>
      </c>
      <c r="H12" s="5">
        <v>755</v>
      </c>
      <c r="I12" s="6">
        <f t="shared" si="0"/>
        <v>-630</v>
      </c>
      <c r="J12" s="7">
        <f t="shared" si="1"/>
        <v>-0.6992230854605993</v>
      </c>
      <c r="K12" s="8" t="s">
        <v>26</v>
      </c>
    </row>
    <row r="13" spans="1:11" ht="21.75" customHeight="1" x14ac:dyDescent="0.3">
      <c r="A13" s="9" t="s">
        <v>29</v>
      </c>
      <c r="B13" s="10">
        <v>313</v>
      </c>
      <c r="C13" s="10">
        <v>320</v>
      </c>
      <c r="D13" s="10">
        <v>334</v>
      </c>
      <c r="E13" s="10">
        <v>290</v>
      </c>
      <c r="F13" s="10">
        <v>308</v>
      </c>
      <c r="G13" s="10">
        <v>319</v>
      </c>
      <c r="H13" s="10">
        <v>330</v>
      </c>
      <c r="I13" s="11">
        <f t="shared" si="0"/>
        <v>-44</v>
      </c>
      <c r="J13" s="12">
        <f t="shared" si="1"/>
        <v>-0.1317365269461078</v>
      </c>
      <c r="K13" s="13" t="s">
        <v>30</v>
      </c>
    </row>
    <row r="14" spans="1:11" ht="21.75" customHeight="1" x14ac:dyDescent="0.3">
      <c r="A14" s="4" t="s">
        <v>31</v>
      </c>
      <c r="B14" s="5">
        <v>1.32</v>
      </c>
      <c r="C14" s="5">
        <v>1.4</v>
      </c>
      <c r="D14" s="5">
        <v>1.46</v>
      </c>
      <c r="E14" s="5">
        <v>0.38</v>
      </c>
      <c r="F14" s="5">
        <v>0.42</v>
      </c>
      <c r="G14" s="5">
        <v>0.96</v>
      </c>
      <c r="H14" s="5">
        <v>1.3</v>
      </c>
      <c r="I14" s="6">
        <f t="shared" si="0"/>
        <v>-1.08</v>
      </c>
      <c r="J14" s="7">
        <f t="shared" si="1"/>
        <v>-0.73972602739726034</v>
      </c>
      <c r="K14" s="8" t="s">
        <v>26</v>
      </c>
    </row>
    <row r="15" spans="1:11" ht="21.75" customHeight="1" x14ac:dyDescent="0.3">
      <c r="A15" s="9" t="s">
        <v>32</v>
      </c>
      <c r="B15" s="10">
        <v>2.2999999999999998</v>
      </c>
      <c r="C15" s="10">
        <v>3</v>
      </c>
      <c r="D15" s="10">
        <v>2.5</v>
      </c>
      <c r="E15" s="10">
        <v>-3.4</v>
      </c>
      <c r="F15" s="10">
        <v>5.7</v>
      </c>
      <c r="G15" s="10">
        <v>3.4</v>
      </c>
      <c r="H15" s="10">
        <v>2.5</v>
      </c>
      <c r="I15" s="11">
        <f t="shared" si="0"/>
        <v>-5.9</v>
      </c>
      <c r="J15" s="12">
        <f t="shared" si="1"/>
        <v>-2.3600000000000003</v>
      </c>
      <c r="K15" s="13" t="s">
        <v>26</v>
      </c>
    </row>
    <row r="16" spans="1:11" ht="21.75" customHeight="1" x14ac:dyDescent="0.3">
      <c r="A16" s="4" t="s">
        <v>33</v>
      </c>
      <c r="B16" s="5">
        <v>68.2</v>
      </c>
      <c r="C16" s="5">
        <v>69.5</v>
      </c>
      <c r="D16" s="5">
        <v>71</v>
      </c>
      <c r="E16" s="5">
        <v>24.6</v>
      </c>
      <c r="F16" s="5">
        <v>42</v>
      </c>
      <c r="G16" s="5">
        <v>61.5</v>
      </c>
      <c r="H16" s="5">
        <v>70.2</v>
      </c>
      <c r="I16" s="6">
        <f t="shared" si="0"/>
        <v>-46.4</v>
      </c>
      <c r="J16" s="7">
        <f t="shared" si="1"/>
        <v>-0.6535211267605634</v>
      </c>
      <c r="K16" s="8" t="s">
        <v>26</v>
      </c>
    </row>
    <row r="17" spans="1:11" ht="21.75" customHeight="1" x14ac:dyDescent="0.3">
      <c r="A17" s="9" t="s">
        <v>34</v>
      </c>
      <c r="B17" s="10">
        <v>0</v>
      </c>
      <c r="C17" s="10">
        <v>0</v>
      </c>
      <c r="D17" s="10">
        <v>0</v>
      </c>
      <c r="E17" s="10">
        <v>312</v>
      </c>
      <c r="F17" s="10">
        <v>145</v>
      </c>
      <c r="G17" s="10">
        <v>48</v>
      </c>
      <c r="H17" s="10">
        <v>15</v>
      </c>
      <c r="I17" s="11">
        <f t="shared" si="0"/>
        <v>312</v>
      </c>
      <c r="J17" s="14">
        <f t="shared" si="1"/>
        <v>0</v>
      </c>
      <c r="K17" s="15" t="s">
        <v>35</v>
      </c>
    </row>
    <row r="19" spans="1:11" ht="7.5" customHeight="1" x14ac:dyDescent="0.3"/>
    <row r="20" spans="1:11" ht="24" customHeight="1" x14ac:dyDescent="0.3"/>
    <row r="21" spans="1:11" ht="21.75" customHeight="1" x14ac:dyDescent="0.3"/>
    <row r="22" spans="1:11" ht="19.5" customHeight="1" x14ac:dyDescent="0.3"/>
    <row r="23" spans="1:11" ht="19.5" customHeight="1" x14ac:dyDescent="0.3"/>
    <row r="24" spans="1:11" ht="19.5" customHeight="1" x14ac:dyDescent="0.3"/>
    <row r="25" spans="1:11" ht="19.5" customHeight="1" x14ac:dyDescent="0.3"/>
    <row r="26" spans="1:11" ht="19.5" customHeight="1" x14ac:dyDescent="0.3"/>
    <row r="27" spans="1:11" ht="19.5" customHeight="1" x14ac:dyDescent="0.3"/>
    <row r="28" spans="1:11" ht="19.5" customHeight="1" x14ac:dyDescent="0.3"/>
    <row r="29" spans="1:11" ht="19.5" customHeight="1" x14ac:dyDescent="0.3"/>
    <row r="30" spans="1:11" ht="19.5" customHeight="1" x14ac:dyDescent="0.3"/>
    <row r="31" spans="1:11" ht="19.5" customHeight="1" x14ac:dyDescent="0.3"/>
    <row r="32" spans="1:11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  <row r="55" ht="19.5" customHeight="1" x14ac:dyDescent="0.3"/>
    <row r="56" ht="19.5" customHeight="1" x14ac:dyDescent="0.3"/>
  </sheetData>
  <mergeCells count="13">
    <mergeCell ref="A1:K1"/>
    <mergeCell ref="A2:K2"/>
    <mergeCell ref="A4:B4"/>
    <mergeCell ref="C4:D4"/>
    <mergeCell ref="E4:F4"/>
    <mergeCell ref="G4:H4"/>
    <mergeCell ref="I4:J4"/>
    <mergeCell ref="A8:K8"/>
    <mergeCell ref="A5:B5"/>
    <mergeCell ref="C5:D5"/>
    <mergeCell ref="E5:F5"/>
    <mergeCell ref="G5:H5"/>
    <mergeCell ref="I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showGridLines="0" tabSelected="1" zoomScale="88" zoomScaleNormal="100" workbookViewId="0">
      <selection activeCell="J6" sqref="J6"/>
    </sheetView>
  </sheetViews>
  <sheetFormatPr defaultColWidth="8.6640625" defaultRowHeight="14.4" x14ac:dyDescent="0.3"/>
  <cols>
    <col min="1" max="1" width="14.44140625" customWidth="1"/>
    <col min="2" max="2" width="16" customWidth="1"/>
    <col min="3" max="4" width="20" customWidth="1"/>
    <col min="5" max="5" width="22" customWidth="1"/>
    <col min="6" max="8" width="18" customWidth="1"/>
    <col min="9" max="9" width="14" customWidth="1"/>
    <col min="10" max="10" width="28" customWidth="1"/>
  </cols>
  <sheetData>
    <row r="1" spans="1:9" ht="42" customHeight="1" x14ac:dyDescent="0.3">
      <c r="A1" s="101" t="s">
        <v>36</v>
      </c>
      <c r="B1" s="101"/>
      <c r="C1" s="101"/>
      <c r="D1" s="101"/>
      <c r="E1" s="101"/>
      <c r="F1" s="101"/>
      <c r="G1" s="101"/>
      <c r="H1" s="101"/>
      <c r="I1" s="101"/>
    </row>
    <row r="2" spans="1:9" ht="18" customHeight="1" x14ac:dyDescent="0.3">
      <c r="A2" s="108" t="s">
        <v>37</v>
      </c>
      <c r="B2" s="108"/>
      <c r="C2" s="108"/>
      <c r="D2" s="108"/>
      <c r="E2" s="108"/>
      <c r="F2" s="108"/>
      <c r="G2" s="108"/>
      <c r="H2" s="108"/>
      <c r="I2" s="108"/>
    </row>
    <row r="4" spans="1:9" ht="24" customHeight="1" x14ac:dyDescent="0.3">
      <c r="A4" s="109" t="s">
        <v>426</v>
      </c>
      <c r="B4" s="109"/>
      <c r="C4" s="109"/>
      <c r="D4" s="109"/>
      <c r="E4" s="109"/>
      <c r="F4" s="109"/>
      <c r="G4" s="109"/>
      <c r="H4" s="109"/>
      <c r="I4" s="109"/>
    </row>
    <row r="5" spans="1:9" ht="42" customHeight="1" x14ac:dyDescent="0.3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</row>
    <row r="6" spans="1:9" ht="21.75" customHeight="1" x14ac:dyDescent="0.3">
      <c r="A6" s="5">
        <v>2017</v>
      </c>
      <c r="B6" s="16">
        <v>2.2999999999999998</v>
      </c>
      <c r="C6" s="17">
        <v>570</v>
      </c>
      <c r="D6" s="17">
        <v>820</v>
      </c>
      <c r="E6" s="17">
        <f t="shared" ref="E6:E12" si="0">C6+D6</f>
        <v>1390</v>
      </c>
      <c r="F6" s="5" t="s">
        <v>47</v>
      </c>
      <c r="G6" s="18">
        <v>1.32</v>
      </c>
      <c r="H6" s="8" t="str">
        <f t="shared" ref="H6:H12" si="1">IF(A6=2020,"⚠ COVID YEAR","—")</f>
        <v>—</v>
      </c>
      <c r="I6" s="19" t="s">
        <v>48</v>
      </c>
    </row>
    <row r="7" spans="1:9" ht="21.75" customHeight="1" x14ac:dyDescent="0.3">
      <c r="A7" s="10">
        <v>2018</v>
      </c>
      <c r="B7" s="20">
        <v>3</v>
      </c>
      <c r="C7" s="21">
        <v>612</v>
      </c>
      <c r="D7" s="21">
        <v>860</v>
      </c>
      <c r="E7" s="21">
        <f t="shared" si="0"/>
        <v>1472</v>
      </c>
      <c r="F7" s="22">
        <f t="shared" ref="F7:F12" si="2">IFERROR((D7-D6)/ABS(D6),0)</f>
        <v>4.878048780487805E-2</v>
      </c>
      <c r="G7" s="23">
        <v>1.4</v>
      </c>
      <c r="H7" s="13" t="str">
        <f t="shared" si="1"/>
        <v>—</v>
      </c>
      <c r="I7" s="24" t="s">
        <v>49</v>
      </c>
    </row>
    <row r="8" spans="1:9" ht="21.75" customHeight="1" x14ac:dyDescent="0.3">
      <c r="A8" s="5">
        <v>2019</v>
      </c>
      <c r="B8" s="16">
        <v>2.5</v>
      </c>
      <c r="C8" s="17">
        <v>651</v>
      </c>
      <c r="D8" s="17">
        <v>901</v>
      </c>
      <c r="E8" s="17">
        <f t="shared" si="0"/>
        <v>1552</v>
      </c>
      <c r="F8" s="25">
        <f t="shared" si="2"/>
        <v>4.7674418604651166E-2</v>
      </c>
      <c r="G8" s="18">
        <v>1.46</v>
      </c>
      <c r="H8" s="8" t="str">
        <f t="shared" si="1"/>
        <v>—</v>
      </c>
      <c r="I8" s="19" t="s">
        <v>50</v>
      </c>
    </row>
    <row r="9" spans="1:9" ht="21.75" customHeight="1" x14ac:dyDescent="0.3">
      <c r="A9" s="26">
        <v>2020</v>
      </c>
      <c r="B9" s="27">
        <v>-3.4</v>
      </c>
      <c r="C9" s="28">
        <v>295</v>
      </c>
      <c r="D9" s="28">
        <v>271</v>
      </c>
      <c r="E9" s="28">
        <f t="shared" si="0"/>
        <v>566</v>
      </c>
      <c r="F9" s="29">
        <f t="shared" si="2"/>
        <v>-0.6992230854605993</v>
      </c>
      <c r="G9" s="30">
        <v>0.38</v>
      </c>
      <c r="H9" s="31" t="str">
        <f t="shared" si="1"/>
        <v>⚠ COVID YEAR</v>
      </c>
      <c r="I9" s="32" t="s">
        <v>51</v>
      </c>
    </row>
    <row r="10" spans="1:9" ht="21.75" customHeight="1" x14ac:dyDescent="0.3">
      <c r="A10" s="5">
        <v>2021</v>
      </c>
      <c r="B10" s="16">
        <v>5.7</v>
      </c>
      <c r="C10" s="17">
        <v>390</v>
      </c>
      <c r="D10" s="17">
        <v>437</v>
      </c>
      <c r="E10" s="17">
        <f t="shared" si="0"/>
        <v>827</v>
      </c>
      <c r="F10" s="25">
        <f t="shared" si="2"/>
        <v>0.61254612546125464</v>
      </c>
      <c r="G10" s="18">
        <v>0.42</v>
      </c>
      <c r="H10" s="8" t="str">
        <f t="shared" si="1"/>
        <v>—</v>
      </c>
      <c r="I10" s="19" t="s">
        <v>52</v>
      </c>
    </row>
    <row r="11" spans="1:9" ht="21.75" customHeight="1" x14ac:dyDescent="0.3">
      <c r="A11" s="10">
        <v>2022</v>
      </c>
      <c r="B11" s="20">
        <v>3.4</v>
      </c>
      <c r="C11" s="21">
        <v>522</v>
      </c>
      <c r="D11" s="21">
        <v>580</v>
      </c>
      <c r="E11" s="21">
        <f t="shared" si="0"/>
        <v>1102</v>
      </c>
      <c r="F11" s="22">
        <f t="shared" si="2"/>
        <v>0.32723112128146453</v>
      </c>
      <c r="G11" s="23">
        <v>0.96</v>
      </c>
      <c r="H11" s="13" t="str">
        <f t="shared" si="1"/>
        <v>—</v>
      </c>
      <c r="I11" s="24" t="s">
        <v>53</v>
      </c>
    </row>
    <row r="12" spans="1:9" ht="21.75" customHeight="1" x14ac:dyDescent="0.3">
      <c r="A12" s="5">
        <v>2023</v>
      </c>
      <c r="B12" s="16">
        <v>2.5</v>
      </c>
      <c r="C12" s="17">
        <v>630</v>
      </c>
      <c r="D12" s="17">
        <v>755</v>
      </c>
      <c r="E12" s="17">
        <f t="shared" si="0"/>
        <v>1385</v>
      </c>
      <c r="F12" s="25">
        <f t="shared" si="2"/>
        <v>0.30172413793103448</v>
      </c>
      <c r="G12" s="18">
        <v>1.3</v>
      </c>
      <c r="H12" s="8" t="str">
        <f t="shared" si="1"/>
        <v>—</v>
      </c>
      <c r="I12" s="19" t="s">
        <v>54</v>
      </c>
    </row>
    <row r="14" spans="1:9" ht="7.5" customHeight="1" x14ac:dyDescent="0.3"/>
    <row r="15" spans="1:9" ht="24" customHeight="1" x14ac:dyDescent="0.3">
      <c r="A15" s="109" t="s">
        <v>55</v>
      </c>
      <c r="B15" s="109"/>
      <c r="C15" s="109"/>
      <c r="D15" s="109"/>
      <c r="E15" s="109"/>
    </row>
    <row r="16" spans="1:9" ht="21.75" customHeight="1" x14ac:dyDescent="0.3">
      <c r="A16" s="3" t="s">
        <v>56</v>
      </c>
      <c r="B16" s="3" t="s">
        <v>57</v>
      </c>
      <c r="C16" s="3" t="s">
        <v>58</v>
      </c>
      <c r="D16" s="3" t="s">
        <v>59</v>
      </c>
      <c r="E16" s="3" t="s">
        <v>60</v>
      </c>
    </row>
    <row r="17" spans="1:5" ht="21.75" customHeight="1" x14ac:dyDescent="0.3">
      <c r="A17" s="4" t="s">
        <v>427</v>
      </c>
      <c r="B17" s="33">
        <f>SUM(C6:C12)</f>
        <v>3670</v>
      </c>
      <c r="C17" s="33">
        <f>SUM(D6:D12)</f>
        <v>4624</v>
      </c>
      <c r="D17" s="33">
        <f>SUM(B6:B12)</f>
        <v>16</v>
      </c>
      <c r="E17" s="34">
        <f>SUM(G6:G12)</f>
        <v>7.2399999999999993</v>
      </c>
    </row>
    <row r="18" spans="1:5" ht="21.75" customHeight="1" x14ac:dyDescent="0.3">
      <c r="A18" s="98" t="s">
        <v>428</v>
      </c>
      <c r="B18" s="35">
        <f>AVERAGE(C6:C12)</f>
        <v>524.28571428571433</v>
      </c>
      <c r="C18" s="35">
        <f>AVERAGE(D6:D12)</f>
        <v>660.57142857142856</v>
      </c>
      <c r="D18" s="35">
        <f>AVERAGE(B6:B12)</f>
        <v>2.2857142857142856</v>
      </c>
      <c r="E18" s="36">
        <f>AVERAGE(G6:G12)</f>
        <v>1.0342857142857143</v>
      </c>
    </row>
    <row r="19" spans="1:5" ht="21.75" customHeight="1" x14ac:dyDescent="0.3">
      <c r="A19" s="99" t="s">
        <v>429</v>
      </c>
      <c r="B19" s="33">
        <f>MIN(C6:C12)</f>
        <v>295</v>
      </c>
      <c r="C19" s="33">
        <f>MIN(D6:D12)</f>
        <v>271</v>
      </c>
      <c r="D19" s="33">
        <f>MIN(B6:B12)</f>
        <v>-3.4</v>
      </c>
      <c r="E19" s="34">
        <f>MIN(G6:G12)</f>
        <v>0.38</v>
      </c>
    </row>
    <row r="20" spans="1:5" ht="21.75" customHeight="1" x14ac:dyDescent="0.3">
      <c r="A20" s="9" t="s">
        <v>430</v>
      </c>
      <c r="B20" s="37">
        <f>MAX(C6:C12)</f>
        <v>651</v>
      </c>
      <c r="C20" s="37">
        <f>MAX(D6:D12)</f>
        <v>901</v>
      </c>
      <c r="D20" s="37">
        <f>MAX(B6:B12)</f>
        <v>5.7</v>
      </c>
      <c r="E20" s="36">
        <f>MAX(G6:G12)</f>
        <v>1.46</v>
      </c>
    </row>
    <row r="21" spans="1:5" ht="21.75" customHeight="1" x14ac:dyDescent="0.3">
      <c r="A21" s="4" t="s">
        <v>61</v>
      </c>
      <c r="B21" s="38">
        <f>MEDIAN(C6:C12)</f>
        <v>570</v>
      </c>
      <c r="C21" s="38">
        <f>MEDIAN(D6:D12)</f>
        <v>755</v>
      </c>
      <c r="D21" s="38">
        <f>MEDIAN(B6:B12)</f>
        <v>2.5</v>
      </c>
      <c r="E21" s="34">
        <f>MEDIAN(G6:G12)</f>
        <v>1.3</v>
      </c>
    </row>
    <row r="22" spans="1:5" ht="21.75" customHeight="1" x14ac:dyDescent="0.3">
      <c r="A22" s="9" t="s">
        <v>431</v>
      </c>
      <c r="B22" s="35">
        <f>STDEV(C6:C12)</f>
        <v>133.93121902144935</v>
      </c>
      <c r="C22" s="35">
        <f>STDEV(D6:D12)</f>
        <v>238.10141896739231</v>
      </c>
      <c r="D22" s="35">
        <f>STDEV(B6:B12)</f>
        <v>2.7637104114026201</v>
      </c>
      <c r="E22" s="36">
        <f>STDEV(G6:G12)</f>
        <v>0.46155018300134104</v>
      </c>
    </row>
    <row r="23" spans="1:5" ht="21.75" customHeight="1" x14ac:dyDescent="0.3">
      <c r="A23" s="4" t="s">
        <v>432</v>
      </c>
      <c r="B23" s="39">
        <f>COUNT(C6:C12)</f>
        <v>7</v>
      </c>
      <c r="C23" s="39">
        <f>COUNT(D6:D12)</f>
        <v>7</v>
      </c>
      <c r="D23" s="39">
        <f>COUNT(B6:B12)</f>
        <v>7</v>
      </c>
      <c r="E23" s="34">
        <f>COUNT(G6:G12)</f>
        <v>7</v>
      </c>
    </row>
    <row r="24" spans="1:5" ht="21.75" customHeight="1" x14ac:dyDescent="0.3">
      <c r="A24" s="9" t="s">
        <v>433</v>
      </c>
      <c r="B24" s="35">
        <f>LARGE(C6:C12,2)</f>
        <v>630</v>
      </c>
      <c r="C24" s="35">
        <f>LARGE(D6:D12,2)</f>
        <v>860</v>
      </c>
      <c r="D24" s="35">
        <f>LARGE(B6:B12,2)</f>
        <v>3.4</v>
      </c>
      <c r="E24" s="36">
        <f>LARGE(G6:G12,2)</f>
        <v>1.4</v>
      </c>
    </row>
    <row r="25" spans="1:5" ht="21.75" customHeight="1" x14ac:dyDescent="0.3">
      <c r="A25" s="4" t="s">
        <v>434</v>
      </c>
      <c r="B25" s="33">
        <f>SMALL(C6:C12,2)</f>
        <v>390</v>
      </c>
      <c r="C25" s="33">
        <f>SMALL(D6:D12,2)</f>
        <v>437</v>
      </c>
      <c r="D25" s="33">
        <f>SMALL(B6:B12,2)</f>
        <v>2.2999999999999998</v>
      </c>
      <c r="E25" s="34">
        <f>SMALL(G6:G12,2)</f>
        <v>0.42</v>
      </c>
    </row>
    <row r="26" spans="1:5" ht="21.75" customHeight="1" x14ac:dyDescent="0.3">
      <c r="A26" s="9" t="s">
        <v>436</v>
      </c>
      <c r="B26" s="40">
        <f>IFERROR((C12/C8)^(1/4)-1,0)</f>
        <v>-8.1639481870355857E-3</v>
      </c>
      <c r="C26" s="40">
        <f>IFERROR((D12/D8)^(1/4)-1,0)</f>
        <v>-4.3234426292368067E-2</v>
      </c>
      <c r="D26" s="10" t="s">
        <v>63</v>
      </c>
      <c r="E26" s="10" t="s">
        <v>63</v>
      </c>
    </row>
    <row r="27" spans="1:5" ht="21.75" customHeight="1" x14ac:dyDescent="0.3">
      <c r="A27" s="99" t="s">
        <v>435</v>
      </c>
      <c r="B27" s="41">
        <f>CORREL(C6:C12,B6:B12)</f>
        <v>0.43033727222337181</v>
      </c>
      <c r="C27" s="5" t="s">
        <v>64</v>
      </c>
      <c r="D27" s="5" t="s">
        <v>64</v>
      </c>
      <c r="E27" s="5" t="s">
        <v>64</v>
      </c>
    </row>
    <row r="28" spans="1:5" ht="21.75" customHeight="1" x14ac:dyDescent="0.3">
      <c r="A28" s="9" t="s">
        <v>437</v>
      </c>
      <c r="B28" s="35" t="s">
        <v>65</v>
      </c>
      <c r="C28" s="10" t="s">
        <v>64</v>
      </c>
      <c r="D28" s="10" t="s">
        <v>64</v>
      </c>
      <c r="E28" s="10" t="s">
        <v>64</v>
      </c>
    </row>
  </sheetData>
  <mergeCells count="4">
    <mergeCell ref="A1:I1"/>
    <mergeCell ref="A2:I2"/>
    <mergeCell ref="A4:I4"/>
    <mergeCell ref="A15:E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topLeftCell="A7" zoomScaleNormal="100" workbookViewId="0">
      <selection activeCell="G24" sqref="G24"/>
    </sheetView>
  </sheetViews>
  <sheetFormatPr defaultColWidth="8.6640625" defaultRowHeight="14.4" x14ac:dyDescent="0.3"/>
  <cols>
    <col min="1" max="1" width="28" customWidth="1"/>
    <col min="2" max="2" width="13" customWidth="1"/>
    <col min="3" max="3" width="14" customWidth="1"/>
    <col min="4" max="4" width="12" customWidth="1"/>
    <col min="5" max="5" width="10" customWidth="1"/>
    <col min="6" max="7" width="18" customWidth="1"/>
    <col min="8" max="8" width="15" customWidth="1"/>
    <col min="9" max="10" width="14" customWidth="1"/>
  </cols>
  <sheetData>
    <row r="1" spans="1:10" ht="42" customHeight="1" x14ac:dyDescent="0.3">
      <c r="A1" s="101" t="s">
        <v>66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ht="18" customHeight="1" x14ac:dyDescent="0.3">
      <c r="A2" s="102" t="s">
        <v>67</v>
      </c>
      <c r="B2" s="102"/>
      <c r="C2" s="102"/>
      <c r="D2" s="102"/>
      <c r="E2" s="102"/>
      <c r="F2" s="102"/>
      <c r="G2" s="102"/>
      <c r="H2" s="102"/>
      <c r="I2" s="102"/>
      <c r="J2" s="102"/>
    </row>
    <row r="4" spans="1:10" ht="24" customHeight="1" x14ac:dyDescent="0.3">
      <c r="A4" s="103" t="s">
        <v>68</v>
      </c>
      <c r="B4" s="103"/>
      <c r="C4" s="103"/>
      <c r="D4" s="103"/>
      <c r="E4" s="103"/>
      <c r="F4" s="103"/>
      <c r="G4" s="103"/>
      <c r="H4" s="103"/>
      <c r="I4" s="103"/>
      <c r="J4" s="103"/>
    </row>
    <row r="5" spans="1:10" ht="42" customHeight="1" x14ac:dyDescent="0.3">
      <c r="A5" s="3" t="s">
        <v>69</v>
      </c>
      <c r="B5" s="3" t="s">
        <v>70</v>
      </c>
      <c r="C5" s="3" t="s">
        <v>71</v>
      </c>
      <c r="D5" s="3" t="s">
        <v>72</v>
      </c>
      <c r="E5" s="3" t="s">
        <v>20</v>
      </c>
      <c r="F5" s="3" t="s">
        <v>73</v>
      </c>
      <c r="G5" s="3" t="s">
        <v>74</v>
      </c>
      <c r="H5" s="3" t="s">
        <v>75</v>
      </c>
      <c r="I5" s="3" t="s">
        <v>76</v>
      </c>
      <c r="J5" s="3" t="s">
        <v>77</v>
      </c>
    </row>
    <row r="6" spans="1:10" ht="21.75" customHeight="1" x14ac:dyDescent="0.3">
      <c r="A6" s="4" t="s">
        <v>78</v>
      </c>
      <c r="B6" s="42">
        <v>4.5</v>
      </c>
      <c r="C6" s="42">
        <v>24.5</v>
      </c>
      <c r="D6" s="42">
        <v>8.1999999999999993</v>
      </c>
      <c r="E6" s="42">
        <v>6.2</v>
      </c>
      <c r="F6" s="43">
        <f t="shared" ref="F6:F11" si="0">C6-B6</f>
        <v>20</v>
      </c>
      <c r="G6" s="44">
        <f t="shared" ref="G6:G11" si="1">D6-E6</f>
        <v>1.9999999999999991</v>
      </c>
      <c r="H6" s="41">
        <f t="shared" ref="H6:H11" si="2">IFERROR(1-(E6-B6)/B6,1)</f>
        <v>0.62222222222222223</v>
      </c>
      <c r="I6" s="5">
        <f t="shared" ref="I6:I11" si="3">RANK(C6,C$6:C$11,0)</f>
        <v>1</v>
      </c>
      <c r="J6" s="8" t="s">
        <v>79</v>
      </c>
    </row>
    <row r="7" spans="1:10" ht="21.75" customHeight="1" x14ac:dyDescent="0.3">
      <c r="A7" s="9" t="s">
        <v>80</v>
      </c>
      <c r="B7" s="45">
        <v>4.8</v>
      </c>
      <c r="C7" s="45">
        <v>17.8</v>
      </c>
      <c r="D7" s="45">
        <v>7.5</v>
      </c>
      <c r="E7" s="45">
        <v>6.5</v>
      </c>
      <c r="F7" s="46">
        <f t="shared" si="0"/>
        <v>13</v>
      </c>
      <c r="G7" s="47">
        <f t="shared" si="1"/>
        <v>1</v>
      </c>
      <c r="H7" s="40">
        <f t="shared" si="2"/>
        <v>0.64583333333333326</v>
      </c>
      <c r="I7" s="10">
        <f t="shared" si="3"/>
        <v>2</v>
      </c>
      <c r="J7" s="48" t="s">
        <v>81</v>
      </c>
    </row>
    <row r="8" spans="1:10" ht="21.75" customHeight="1" x14ac:dyDescent="0.3">
      <c r="A8" s="4" t="s">
        <v>82</v>
      </c>
      <c r="B8" s="42">
        <v>3.9</v>
      </c>
      <c r="C8" s="42">
        <v>13.2</v>
      </c>
      <c r="D8" s="42">
        <v>6.3</v>
      </c>
      <c r="E8" s="42">
        <v>5.0999999999999996</v>
      </c>
      <c r="F8" s="43">
        <f t="shared" si="0"/>
        <v>9.2999999999999989</v>
      </c>
      <c r="G8" s="44">
        <f t="shared" si="1"/>
        <v>1.2000000000000002</v>
      </c>
      <c r="H8" s="41">
        <f t="shared" si="2"/>
        <v>0.69230769230769229</v>
      </c>
      <c r="I8" s="5">
        <f t="shared" si="3"/>
        <v>3</v>
      </c>
      <c r="J8" s="49" t="s">
        <v>81</v>
      </c>
    </row>
    <row r="9" spans="1:10" ht="21.75" customHeight="1" x14ac:dyDescent="0.3">
      <c r="A9" s="9" t="s">
        <v>83</v>
      </c>
      <c r="B9" s="45">
        <v>2.1</v>
      </c>
      <c r="C9" s="45">
        <v>5.4</v>
      </c>
      <c r="D9" s="45">
        <v>3.1</v>
      </c>
      <c r="E9" s="45">
        <v>2.5</v>
      </c>
      <c r="F9" s="46">
        <f t="shared" si="0"/>
        <v>3.3000000000000003</v>
      </c>
      <c r="G9" s="47">
        <f t="shared" si="1"/>
        <v>0.60000000000000009</v>
      </c>
      <c r="H9" s="40">
        <f t="shared" si="2"/>
        <v>0.80952380952380953</v>
      </c>
      <c r="I9" s="10">
        <f t="shared" si="3"/>
        <v>5</v>
      </c>
      <c r="J9" s="15" t="s">
        <v>84</v>
      </c>
    </row>
    <row r="10" spans="1:10" ht="21.75" customHeight="1" x14ac:dyDescent="0.3">
      <c r="A10" s="4" t="s">
        <v>85</v>
      </c>
      <c r="B10" s="42">
        <v>1.8</v>
      </c>
      <c r="C10" s="42">
        <v>3.2</v>
      </c>
      <c r="D10" s="42">
        <v>2.4</v>
      </c>
      <c r="E10" s="42">
        <v>2</v>
      </c>
      <c r="F10" s="43">
        <f t="shared" si="0"/>
        <v>1.4000000000000001</v>
      </c>
      <c r="G10" s="44">
        <f t="shared" si="1"/>
        <v>0.39999999999999991</v>
      </c>
      <c r="H10" s="41">
        <f t="shared" si="2"/>
        <v>0.88888888888888895</v>
      </c>
      <c r="I10" s="5">
        <f t="shared" si="3"/>
        <v>6</v>
      </c>
      <c r="J10" s="50" t="s">
        <v>84</v>
      </c>
    </row>
    <row r="11" spans="1:10" ht="21.75" customHeight="1" x14ac:dyDescent="0.3">
      <c r="A11" s="9" t="s">
        <v>86</v>
      </c>
      <c r="B11" s="45">
        <v>2.6</v>
      </c>
      <c r="C11" s="45">
        <v>8.1</v>
      </c>
      <c r="D11" s="45">
        <v>4.2</v>
      </c>
      <c r="E11" s="45">
        <v>3.1</v>
      </c>
      <c r="F11" s="46">
        <f t="shared" si="0"/>
        <v>5.5</v>
      </c>
      <c r="G11" s="47">
        <f t="shared" si="1"/>
        <v>1.1000000000000001</v>
      </c>
      <c r="H11" s="40">
        <f t="shared" si="2"/>
        <v>0.80769230769230771</v>
      </c>
      <c r="I11" s="10">
        <f t="shared" si="3"/>
        <v>4</v>
      </c>
      <c r="J11" s="51" t="s">
        <v>87</v>
      </c>
    </row>
    <row r="14" spans="1:10" ht="7.5" customHeight="1" x14ac:dyDescent="0.3"/>
    <row r="15" spans="1:10" ht="24" customHeight="1" x14ac:dyDescent="0.3">
      <c r="A15" s="103" t="s">
        <v>88</v>
      </c>
      <c r="B15" s="103"/>
      <c r="C15" s="103"/>
      <c r="D15" s="103"/>
      <c r="E15" s="103"/>
      <c r="F15" s="103"/>
      <c r="G15" s="103"/>
      <c r="H15" s="103"/>
      <c r="I15" s="103"/>
      <c r="J15" s="103"/>
    </row>
    <row r="16" spans="1:10" ht="42" customHeight="1" x14ac:dyDescent="0.3">
      <c r="A16" s="3" t="s">
        <v>89</v>
      </c>
      <c r="B16" s="3" t="s">
        <v>70</v>
      </c>
      <c r="C16" s="3" t="s">
        <v>90</v>
      </c>
      <c r="D16" s="3" t="s">
        <v>19</v>
      </c>
      <c r="E16" s="3" t="s">
        <v>20</v>
      </c>
      <c r="F16" s="3" t="s">
        <v>91</v>
      </c>
      <c r="G16" s="3" t="s">
        <v>92</v>
      </c>
      <c r="H16" s="3" t="s">
        <v>93</v>
      </c>
      <c r="I16" s="3" t="s">
        <v>94</v>
      </c>
      <c r="J16" s="3" t="s">
        <v>6</v>
      </c>
    </row>
    <row r="17" spans="1:10" ht="21.75" customHeight="1" x14ac:dyDescent="0.3">
      <c r="A17" s="4" t="s">
        <v>95</v>
      </c>
      <c r="B17" s="33">
        <v>16.399999999999999</v>
      </c>
      <c r="C17" s="33">
        <v>9.1999999999999993</v>
      </c>
      <c r="D17" s="33">
        <v>11.8</v>
      </c>
      <c r="E17" s="33">
        <v>14.5</v>
      </c>
      <c r="F17" s="52">
        <f>C17-B17</f>
        <v>-7.1999999999999993</v>
      </c>
      <c r="G17" s="53">
        <f>E17-C17</f>
        <v>5.3000000000000007</v>
      </c>
      <c r="H17" s="41">
        <f t="shared" ref="H17:H22" si="4">IFERROR(E17/B17,0)</f>
        <v>0.88414634146341475</v>
      </c>
      <c r="I17" s="41">
        <f t="shared" ref="I17:I22" si="5">IFERROR((E17/C17)^(1/2)-1,0)</f>
        <v>0.25542301895486186</v>
      </c>
      <c r="J17" s="50" t="s">
        <v>96</v>
      </c>
    </row>
    <row r="18" spans="1:10" ht="21.75" customHeight="1" x14ac:dyDescent="0.3">
      <c r="A18" s="9" t="s">
        <v>97</v>
      </c>
      <c r="B18" s="35">
        <v>11.2</v>
      </c>
      <c r="C18" s="35">
        <v>5.8</v>
      </c>
      <c r="D18" s="35">
        <v>7.4</v>
      </c>
      <c r="E18" s="35">
        <v>9.6</v>
      </c>
      <c r="F18" s="54">
        <f>C18-B18</f>
        <v>-5.3999999999999995</v>
      </c>
      <c r="G18" s="55">
        <f>E18-C18</f>
        <v>3.8</v>
      </c>
      <c r="H18" s="40">
        <f t="shared" si="4"/>
        <v>0.85714285714285721</v>
      </c>
      <c r="I18" s="40">
        <f t="shared" si="5"/>
        <v>0.28653504180535383</v>
      </c>
      <c r="J18" s="15" t="s">
        <v>96</v>
      </c>
    </row>
    <row r="19" spans="1:10" ht="21.75" customHeight="1" x14ac:dyDescent="0.3">
      <c r="A19" s="4" t="s">
        <v>98</v>
      </c>
      <c r="B19" s="33">
        <v>54</v>
      </c>
      <c r="C19" s="33">
        <v>32.5</v>
      </c>
      <c r="D19" s="33">
        <v>42</v>
      </c>
      <c r="E19" s="33">
        <v>50.1</v>
      </c>
      <c r="F19" s="52">
        <f>C19-B19</f>
        <v>-21.5</v>
      </c>
      <c r="G19" s="53">
        <f>E19-C19</f>
        <v>17.600000000000001</v>
      </c>
      <c r="H19" s="41">
        <f t="shared" si="4"/>
        <v>0.92777777777777781</v>
      </c>
      <c r="I19" s="41">
        <f t="shared" si="5"/>
        <v>0.24158707368370314</v>
      </c>
      <c r="J19" s="50" t="s">
        <v>96</v>
      </c>
    </row>
    <row r="20" spans="1:10" ht="21.75" customHeight="1" x14ac:dyDescent="0.3">
      <c r="A20" s="9" t="s">
        <v>99</v>
      </c>
      <c r="B20" s="35">
        <v>8.6</v>
      </c>
      <c r="C20" s="35">
        <v>2.1</v>
      </c>
      <c r="D20" s="35">
        <v>4.5</v>
      </c>
      <c r="E20" s="35">
        <v>7</v>
      </c>
      <c r="F20" s="54">
        <f>C20-B20</f>
        <v>-6.5</v>
      </c>
      <c r="G20" s="55">
        <f>E20-C20</f>
        <v>4.9000000000000004</v>
      </c>
      <c r="H20" s="40">
        <f t="shared" si="4"/>
        <v>0.81395348837209303</v>
      </c>
      <c r="I20" s="40">
        <f t="shared" si="5"/>
        <v>0.82574185835055358</v>
      </c>
      <c r="J20" s="51" t="s">
        <v>12</v>
      </c>
    </row>
    <row r="21" spans="1:10" ht="21.75" customHeight="1" x14ac:dyDescent="0.3">
      <c r="A21" s="4" t="s">
        <v>100</v>
      </c>
      <c r="B21" s="33">
        <v>6.3</v>
      </c>
      <c r="C21" s="33">
        <v>3</v>
      </c>
      <c r="D21" s="33">
        <v>4.2</v>
      </c>
      <c r="E21" s="33">
        <v>5.8</v>
      </c>
      <c r="F21" s="52">
        <f>C21-B21</f>
        <v>-3.3</v>
      </c>
      <c r="G21" s="53">
        <f>E21-C21</f>
        <v>2.8</v>
      </c>
      <c r="H21" s="41">
        <f t="shared" si="4"/>
        <v>0.92063492063492058</v>
      </c>
      <c r="I21" s="41">
        <f t="shared" si="5"/>
        <v>0.39044357430761401</v>
      </c>
      <c r="J21" s="50" t="s">
        <v>96</v>
      </c>
    </row>
    <row r="22" spans="1:10" ht="24" customHeight="1" x14ac:dyDescent="0.3">
      <c r="A22" s="56" t="s">
        <v>101</v>
      </c>
      <c r="B22" s="57">
        <f t="shared" ref="B22:G22" si="6">SUM(B17:B21)</f>
        <v>96.499999999999986</v>
      </c>
      <c r="C22" s="57">
        <f t="shared" si="6"/>
        <v>52.6</v>
      </c>
      <c r="D22" s="57">
        <f t="shared" si="6"/>
        <v>69.900000000000006</v>
      </c>
      <c r="E22" s="57">
        <f t="shared" si="6"/>
        <v>87</v>
      </c>
      <c r="F22" s="57">
        <f t="shared" si="6"/>
        <v>-43.899999999999991</v>
      </c>
      <c r="G22" s="57">
        <f t="shared" si="6"/>
        <v>34.4</v>
      </c>
      <c r="H22" s="58">
        <f t="shared" si="4"/>
        <v>0.90155440414507781</v>
      </c>
      <c r="I22" s="58">
        <f t="shared" si="5"/>
        <v>0.28607635676784859</v>
      </c>
      <c r="J22" s="59"/>
    </row>
  </sheetData>
  <mergeCells count="4">
    <mergeCell ref="A1:J1"/>
    <mergeCell ref="A2:J2"/>
    <mergeCell ref="A4:J4"/>
    <mergeCell ref="A15:J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showGridLines="0" zoomScaleNormal="100" workbookViewId="0">
      <selection activeCell="M5" sqref="M5"/>
    </sheetView>
  </sheetViews>
  <sheetFormatPr defaultColWidth="8.6640625" defaultRowHeight="14.4" x14ac:dyDescent="0.3"/>
  <cols>
    <col min="1" max="1" width="22" customWidth="1"/>
    <col min="2" max="2" width="38" customWidth="1"/>
    <col min="3" max="3" width="18" customWidth="1"/>
    <col min="4" max="4" width="14" customWidth="1"/>
    <col min="5" max="5" width="10" customWidth="1"/>
    <col min="6" max="6" width="15" customWidth="1"/>
    <col min="7" max="7" width="14" customWidth="1"/>
    <col min="8" max="8" width="12" customWidth="1"/>
    <col min="9" max="9" width="13" customWidth="1"/>
  </cols>
  <sheetData>
    <row r="1" spans="1:9" ht="42" customHeight="1" x14ac:dyDescent="0.3">
      <c r="A1" s="101" t="s">
        <v>102</v>
      </c>
      <c r="B1" s="101"/>
      <c r="C1" s="101"/>
      <c r="D1" s="101"/>
      <c r="E1" s="101"/>
      <c r="F1" s="101"/>
      <c r="G1" s="101"/>
      <c r="H1" s="101"/>
      <c r="I1" s="101"/>
    </row>
    <row r="2" spans="1:9" ht="18" customHeight="1" x14ac:dyDescent="0.3">
      <c r="A2" s="102" t="s">
        <v>103</v>
      </c>
      <c r="B2" s="102"/>
      <c r="C2" s="102"/>
      <c r="D2" s="102"/>
      <c r="E2" s="102"/>
      <c r="F2" s="102"/>
      <c r="G2" s="102"/>
      <c r="H2" s="102"/>
      <c r="I2" s="102"/>
    </row>
    <row r="4" spans="1:9" ht="24" customHeight="1" x14ac:dyDescent="0.3">
      <c r="A4" s="103" t="s">
        <v>104</v>
      </c>
      <c r="B4" s="103"/>
      <c r="C4" s="103"/>
      <c r="D4" s="103"/>
      <c r="E4" s="103"/>
      <c r="F4" s="103"/>
      <c r="G4" s="103"/>
      <c r="H4" s="103"/>
      <c r="I4" s="103"/>
    </row>
    <row r="5" spans="1:9" ht="42" customHeight="1" x14ac:dyDescent="0.3">
      <c r="A5" s="3" t="s">
        <v>89</v>
      </c>
      <c r="B5" s="3" t="s">
        <v>105</v>
      </c>
      <c r="C5" s="3" t="s">
        <v>106</v>
      </c>
      <c r="D5" s="3" t="s">
        <v>107</v>
      </c>
      <c r="E5" s="3" t="s">
        <v>108</v>
      </c>
      <c r="F5" s="3" t="s">
        <v>109</v>
      </c>
      <c r="G5" s="3" t="s">
        <v>110</v>
      </c>
      <c r="H5" s="3" t="s">
        <v>111</v>
      </c>
      <c r="I5" s="3" t="s">
        <v>112</v>
      </c>
    </row>
    <row r="6" spans="1:9" ht="21.75" customHeight="1" x14ac:dyDescent="0.3">
      <c r="A6" s="4" t="s">
        <v>113</v>
      </c>
      <c r="B6" s="17">
        <v>88000</v>
      </c>
      <c r="C6" s="17">
        <v>52000</v>
      </c>
      <c r="D6" s="17">
        <v>14000</v>
      </c>
      <c r="E6" s="41">
        <f t="shared" ref="E6:E11" si="0">IFERROR(C6/B6,0)</f>
        <v>0.59090909090909094</v>
      </c>
      <c r="F6" s="41">
        <f t="shared" ref="F6:F11" si="1">IFERROR(D6/B6,0)</f>
        <v>0.15909090909090909</v>
      </c>
      <c r="G6" s="60">
        <v>55</v>
      </c>
      <c r="H6" s="60">
        <v>72</v>
      </c>
      <c r="I6" s="61" t="s">
        <v>114</v>
      </c>
    </row>
    <row r="7" spans="1:9" ht="21.75" customHeight="1" x14ac:dyDescent="0.3">
      <c r="A7" s="9" t="s">
        <v>115</v>
      </c>
      <c r="B7" s="21">
        <v>620000</v>
      </c>
      <c r="C7" s="21">
        <v>390000</v>
      </c>
      <c r="D7" s="21">
        <v>250000</v>
      </c>
      <c r="E7" s="40">
        <f t="shared" si="0"/>
        <v>0.62903225806451613</v>
      </c>
      <c r="F7" s="40">
        <f t="shared" si="1"/>
        <v>0.40322580645161288</v>
      </c>
      <c r="G7" s="62">
        <v>62</v>
      </c>
      <c r="H7" s="62">
        <v>58</v>
      </c>
      <c r="I7" s="63" t="s">
        <v>116</v>
      </c>
    </row>
    <row r="8" spans="1:9" ht="21.75" customHeight="1" x14ac:dyDescent="0.3">
      <c r="A8" s="4" t="s">
        <v>117</v>
      </c>
      <c r="B8" s="17">
        <v>180</v>
      </c>
      <c r="C8" s="17">
        <v>38</v>
      </c>
      <c r="D8" s="17">
        <v>12</v>
      </c>
      <c r="E8" s="41">
        <f t="shared" si="0"/>
        <v>0.21111111111111111</v>
      </c>
      <c r="F8" s="41">
        <f t="shared" si="1"/>
        <v>6.6666666666666666E-2</v>
      </c>
      <c r="G8" s="60">
        <v>64</v>
      </c>
      <c r="H8" s="60">
        <v>95</v>
      </c>
      <c r="I8" s="61" t="s">
        <v>118</v>
      </c>
    </row>
    <row r="9" spans="1:9" ht="21.75" customHeight="1" x14ac:dyDescent="0.3">
      <c r="A9" s="9" t="s">
        <v>100</v>
      </c>
      <c r="B9" s="21">
        <v>32000</v>
      </c>
      <c r="C9" s="21">
        <v>20000</v>
      </c>
      <c r="D9" s="21">
        <v>12000</v>
      </c>
      <c r="E9" s="40">
        <f t="shared" si="0"/>
        <v>0.625</v>
      </c>
      <c r="F9" s="40">
        <f t="shared" si="1"/>
        <v>0.375</v>
      </c>
      <c r="G9" s="62">
        <v>71</v>
      </c>
      <c r="H9" s="62">
        <v>44</v>
      </c>
      <c r="I9" s="63" t="s">
        <v>116</v>
      </c>
    </row>
    <row r="10" spans="1:9" ht="21.75" customHeight="1" x14ac:dyDescent="0.3">
      <c r="A10" s="4" t="s">
        <v>119</v>
      </c>
      <c r="B10" s="17">
        <v>15000</v>
      </c>
      <c r="C10" s="17">
        <v>13000</v>
      </c>
      <c r="D10" s="17">
        <v>6000</v>
      </c>
      <c r="E10" s="41">
        <f t="shared" si="0"/>
        <v>0.8666666666666667</v>
      </c>
      <c r="F10" s="41">
        <f t="shared" si="1"/>
        <v>0.4</v>
      </c>
      <c r="G10" s="60">
        <v>88</v>
      </c>
      <c r="H10" s="60">
        <v>35</v>
      </c>
      <c r="I10" s="61" t="s">
        <v>116</v>
      </c>
    </row>
    <row r="11" spans="1:9" ht="21.75" customHeight="1" x14ac:dyDescent="0.3">
      <c r="A11" s="9" t="s">
        <v>120</v>
      </c>
      <c r="B11" s="21">
        <v>50</v>
      </c>
      <c r="C11" s="21">
        <v>50</v>
      </c>
      <c r="D11" s="21">
        <v>0</v>
      </c>
      <c r="E11" s="40">
        <f t="shared" si="0"/>
        <v>1</v>
      </c>
      <c r="F11" s="40">
        <f t="shared" si="1"/>
        <v>0</v>
      </c>
      <c r="G11" s="62">
        <v>76</v>
      </c>
      <c r="H11" s="62">
        <v>100</v>
      </c>
      <c r="I11" s="63" t="s">
        <v>118</v>
      </c>
    </row>
    <row r="12" spans="1:9" ht="24" customHeight="1" x14ac:dyDescent="0.3">
      <c r="A12" s="56" t="s">
        <v>121</v>
      </c>
      <c r="B12" s="64">
        <f>SUM(B6:B11)</f>
        <v>755230</v>
      </c>
      <c r="C12" s="64">
        <f>SUM(C6:C11)</f>
        <v>475088</v>
      </c>
      <c r="D12" s="64">
        <f>SUM(D6:D11)</f>
        <v>282012</v>
      </c>
      <c r="E12" s="58">
        <f>IFERROR(AVERAGE(E6:E11),0)</f>
        <v>0.65378652112523084</v>
      </c>
      <c r="F12" s="58">
        <f>IFERROR(AVERAGE(F6:F11),0)</f>
        <v>0.23399723036819808</v>
      </c>
      <c r="G12" s="65">
        <f>AVERAGE(G6:G11)</f>
        <v>69.333333333333329</v>
      </c>
      <c r="H12" s="65">
        <f>AVERAGE(H6:H11)</f>
        <v>67.333333333333329</v>
      </c>
      <c r="I12" s="59"/>
    </row>
    <row r="14" spans="1:9" ht="7.5" customHeight="1" x14ac:dyDescent="0.3"/>
    <row r="15" spans="1:9" ht="24" customHeight="1" x14ac:dyDescent="0.3">
      <c r="A15" s="103" t="s">
        <v>425</v>
      </c>
      <c r="B15" s="103"/>
      <c r="C15" s="103"/>
      <c r="D15" s="103"/>
      <c r="E15" s="103"/>
      <c r="F15" s="103"/>
      <c r="G15" s="103"/>
      <c r="H15" s="103"/>
      <c r="I15" s="103"/>
    </row>
    <row r="16" spans="1:9" ht="42" customHeight="1" x14ac:dyDescent="0.3">
      <c r="A16" s="3" t="s">
        <v>122</v>
      </c>
      <c r="B16" s="3" t="s">
        <v>123</v>
      </c>
      <c r="C16" s="3" t="s">
        <v>124</v>
      </c>
      <c r="D16" s="3" t="s">
        <v>125</v>
      </c>
      <c r="E16" s="3" t="s">
        <v>126</v>
      </c>
      <c r="F16" s="3" t="s">
        <v>127</v>
      </c>
      <c r="G16" s="3" t="s">
        <v>128</v>
      </c>
      <c r="H16" s="3" t="s">
        <v>129</v>
      </c>
      <c r="I16" s="3" t="s">
        <v>130</v>
      </c>
    </row>
    <row r="17" spans="1:9" ht="25.5" customHeight="1" x14ac:dyDescent="0.3">
      <c r="A17" s="4" t="s">
        <v>131</v>
      </c>
      <c r="B17" s="19" t="s">
        <v>132</v>
      </c>
      <c r="C17" s="19" t="s">
        <v>133</v>
      </c>
      <c r="D17" s="66" t="s">
        <v>134</v>
      </c>
      <c r="E17" s="67" t="s">
        <v>135</v>
      </c>
      <c r="F17" s="68">
        <v>135</v>
      </c>
      <c r="G17" s="33">
        <v>5.2</v>
      </c>
      <c r="H17" s="61" t="s">
        <v>136</v>
      </c>
      <c r="I17" s="69" t="s">
        <v>137</v>
      </c>
    </row>
    <row r="18" spans="1:9" ht="25.5" customHeight="1" x14ac:dyDescent="0.3">
      <c r="A18" s="9" t="s">
        <v>138</v>
      </c>
      <c r="B18" s="24" t="s">
        <v>139</v>
      </c>
      <c r="C18" s="24" t="s">
        <v>140</v>
      </c>
      <c r="D18" s="70" t="s">
        <v>141</v>
      </c>
      <c r="E18" s="51" t="s">
        <v>142</v>
      </c>
      <c r="F18" s="71">
        <v>120</v>
      </c>
      <c r="G18" s="35">
        <v>4</v>
      </c>
      <c r="H18" s="63" t="s">
        <v>143</v>
      </c>
      <c r="I18" s="72" t="s">
        <v>137</v>
      </c>
    </row>
    <row r="19" spans="1:9" ht="25.5" customHeight="1" x14ac:dyDescent="0.3">
      <c r="A19" s="4" t="s">
        <v>144</v>
      </c>
      <c r="B19" s="19" t="s">
        <v>145</v>
      </c>
      <c r="C19" s="19" t="s">
        <v>146</v>
      </c>
      <c r="D19" s="66" t="s">
        <v>147</v>
      </c>
      <c r="E19" s="67" t="s">
        <v>148</v>
      </c>
      <c r="F19" s="68">
        <v>22</v>
      </c>
      <c r="G19" s="33">
        <v>1.1000000000000001</v>
      </c>
      <c r="H19" s="61" t="s">
        <v>136</v>
      </c>
      <c r="I19" s="73" t="s">
        <v>149</v>
      </c>
    </row>
    <row r="20" spans="1:9" ht="25.5" customHeight="1" x14ac:dyDescent="0.3">
      <c r="A20" s="9" t="s">
        <v>150</v>
      </c>
      <c r="B20" s="24" t="s">
        <v>151</v>
      </c>
      <c r="C20" s="24" t="s">
        <v>152</v>
      </c>
      <c r="D20" s="70" t="s">
        <v>153</v>
      </c>
      <c r="E20" s="51" t="s">
        <v>135</v>
      </c>
      <c r="F20" s="71">
        <v>18</v>
      </c>
      <c r="G20" s="35">
        <v>2.8</v>
      </c>
      <c r="H20" s="63" t="s">
        <v>136</v>
      </c>
      <c r="I20" s="74" t="s">
        <v>154</v>
      </c>
    </row>
    <row r="21" spans="1:9" ht="25.5" customHeight="1" x14ac:dyDescent="0.3">
      <c r="A21" s="4" t="s">
        <v>155</v>
      </c>
      <c r="B21" s="19" t="s">
        <v>156</v>
      </c>
      <c r="C21" s="19" t="s">
        <v>157</v>
      </c>
      <c r="D21" s="66" t="s">
        <v>158</v>
      </c>
      <c r="E21" s="67" t="s">
        <v>135</v>
      </c>
      <c r="F21" s="68">
        <v>10</v>
      </c>
      <c r="G21" s="33">
        <v>0.1</v>
      </c>
      <c r="H21" s="61" t="s">
        <v>136</v>
      </c>
      <c r="I21" s="75" t="s">
        <v>154</v>
      </c>
    </row>
    <row r="22" spans="1:9" ht="24" customHeight="1" x14ac:dyDescent="0.3">
      <c r="A22" s="56" t="s">
        <v>159</v>
      </c>
      <c r="B22" s="59"/>
      <c r="C22" s="59"/>
      <c r="D22" s="76" t="s">
        <v>160</v>
      </c>
      <c r="E22" s="59"/>
      <c r="F22" s="77">
        <f>SUM(F17:F21)</f>
        <v>305</v>
      </c>
      <c r="G22" s="57">
        <f>SUM(G17:G21)</f>
        <v>13.199999999999998</v>
      </c>
      <c r="H22" s="59"/>
      <c r="I22" s="59"/>
    </row>
    <row r="24" spans="1:9" ht="18" customHeight="1" x14ac:dyDescent="0.3">
      <c r="A24" s="110"/>
      <c r="B24" s="110"/>
      <c r="C24" s="110"/>
      <c r="D24" s="110"/>
      <c r="E24" s="110"/>
      <c r="F24" s="110"/>
      <c r="G24" s="110"/>
      <c r="H24" s="110"/>
      <c r="I24" s="110"/>
    </row>
  </sheetData>
  <mergeCells count="5">
    <mergeCell ref="A1:I1"/>
    <mergeCell ref="A2:I2"/>
    <mergeCell ref="A4:I4"/>
    <mergeCell ref="A15:I15"/>
    <mergeCell ref="A24:I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showGridLines="0" topLeftCell="A29" zoomScaleNormal="100" workbookViewId="0">
      <selection activeCell="J26" sqref="J26"/>
    </sheetView>
  </sheetViews>
  <sheetFormatPr defaultColWidth="8.6640625" defaultRowHeight="14.4" x14ac:dyDescent="0.3"/>
  <cols>
    <col min="1" max="2" width="16" customWidth="1"/>
    <col min="3" max="3" width="12" customWidth="1"/>
    <col min="4" max="4" width="14" customWidth="1"/>
    <col min="5" max="5" width="12" customWidth="1"/>
    <col min="6" max="6" width="14" customWidth="1"/>
    <col min="7" max="7" width="16" customWidth="1"/>
    <col min="8" max="8" width="14" customWidth="1"/>
    <col min="9" max="10" width="16" customWidth="1"/>
  </cols>
  <sheetData>
    <row r="1" spans="1:9" ht="42" customHeight="1" x14ac:dyDescent="0.3">
      <c r="A1" s="111" t="s">
        <v>161</v>
      </c>
      <c r="B1" s="111"/>
      <c r="C1" s="111"/>
      <c r="D1" s="111"/>
      <c r="E1" s="111"/>
      <c r="F1" s="111"/>
      <c r="G1" s="111"/>
      <c r="H1" s="111"/>
      <c r="I1" s="111"/>
    </row>
    <row r="2" spans="1:9" ht="18" customHeight="1" x14ac:dyDescent="0.3">
      <c r="A2" s="102" t="s">
        <v>162</v>
      </c>
      <c r="B2" s="102"/>
      <c r="C2" s="102"/>
      <c r="D2" s="102"/>
      <c r="E2" s="102"/>
      <c r="F2" s="102"/>
      <c r="G2" s="102"/>
      <c r="H2" s="102"/>
      <c r="I2" s="102"/>
    </row>
    <row r="4" spans="1:9" ht="24" customHeight="1" x14ac:dyDescent="0.3">
      <c r="A4" s="112" t="s">
        <v>163</v>
      </c>
      <c r="B4" s="112"/>
      <c r="C4" s="112"/>
      <c r="D4" s="112"/>
      <c r="E4" s="112"/>
      <c r="F4" s="112"/>
      <c r="G4" s="112"/>
      <c r="H4" s="112"/>
      <c r="I4" s="112"/>
    </row>
    <row r="5" spans="1:9" ht="42" customHeight="1" x14ac:dyDescent="0.3">
      <c r="A5" s="3" t="s">
        <v>164</v>
      </c>
      <c r="B5" s="3" t="s">
        <v>165</v>
      </c>
      <c r="C5" s="3" t="s">
        <v>166</v>
      </c>
      <c r="D5" s="3" t="s">
        <v>82</v>
      </c>
      <c r="E5" s="3" t="s">
        <v>117</v>
      </c>
      <c r="F5" s="3" t="s">
        <v>167</v>
      </c>
      <c r="G5" s="3" t="s">
        <v>168</v>
      </c>
      <c r="H5" s="3" t="s">
        <v>169</v>
      </c>
      <c r="I5" s="3" t="s">
        <v>170</v>
      </c>
    </row>
    <row r="6" spans="1:9" ht="21.75" customHeight="1" x14ac:dyDescent="0.3">
      <c r="A6" s="4" t="s">
        <v>171</v>
      </c>
      <c r="B6" s="78">
        <v>85</v>
      </c>
      <c r="C6" s="78">
        <v>88</v>
      </c>
      <c r="D6" s="78">
        <v>90</v>
      </c>
      <c r="E6" s="78">
        <v>82</v>
      </c>
      <c r="F6" s="78">
        <v>80</v>
      </c>
      <c r="G6" s="78">
        <v>75</v>
      </c>
      <c r="H6" s="79">
        <f t="shared" ref="H6:H15" si="0">AVERAGE(B6:G6)</f>
        <v>83.333333333333329</v>
      </c>
      <c r="I6" s="50" t="s">
        <v>172</v>
      </c>
    </row>
    <row r="7" spans="1:9" ht="21.75" customHeight="1" x14ac:dyDescent="0.3">
      <c r="A7" s="9" t="s">
        <v>173</v>
      </c>
      <c r="B7" s="80">
        <v>35</v>
      </c>
      <c r="C7" s="81">
        <v>60</v>
      </c>
      <c r="D7" s="81">
        <v>55</v>
      </c>
      <c r="E7" s="80">
        <v>28</v>
      </c>
      <c r="F7" s="80">
        <v>25</v>
      </c>
      <c r="G7" s="80">
        <v>10</v>
      </c>
      <c r="H7" s="82">
        <f t="shared" si="0"/>
        <v>35.5</v>
      </c>
      <c r="I7" s="13" t="s">
        <v>174</v>
      </c>
    </row>
    <row r="8" spans="1:9" ht="21.75" customHeight="1" x14ac:dyDescent="0.3">
      <c r="A8" s="4" t="s">
        <v>175</v>
      </c>
      <c r="B8" s="83">
        <v>52</v>
      </c>
      <c r="C8" s="78">
        <v>82</v>
      </c>
      <c r="D8" s="83">
        <v>72</v>
      </c>
      <c r="E8" s="84">
        <v>45</v>
      </c>
      <c r="F8" s="84">
        <v>40</v>
      </c>
      <c r="G8" s="84">
        <v>22</v>
      </c>
      <c r="H8" s="79">
        <f t="shared" si="0"/>
        <v>52.166666666666664</v>
      </c>
      <c r="I8" s="49" t="s">
        <v>176</v>
      </c>
    </row>
    <row r="9" spans="1:9" ht="21.75" customHeight="1" x14ac:dyDescent="0.3">
      <c r="A9" s="9" t="s">
        <v>177</v>
      </c>
      <c r="B9" s="80">
        <v>45</v>
      </c>
      <c r="C9" s="85">
        <v>86</v>
      </c>
      <c r="D9" s="85">
        <v>75</v>
      </c>
      <c r="E9" s="80">
        <v>40</v>
      </c>
      <c r="F9" s="80">
        <v>35</v>
      </c>
      <c r="G9" s="80">
        <v>18</v>
      </c>
      <c r="H9" s="82">
        <f t="shared" si="0"/>
        <v>49.833333333333336</v>
      </c>
      <c r="I9" s="13" t="s">
        <v>174</v>
      </c>
    </row>
    <row r="10" spans="1:9" ht="21.75" customHeight="1" x14ac:dyDescent="0.3">
      <c r="A10" s="4" t="s">
        <v>178</v>
      </c>
      <c r="B10" s="84">
        <v>48</v>
      </c>
      <c r="C10" s="78">
        <v>84</v>
      </c>
      <c r="D10" s="78">
        <v>78</v>
      </c>
      <c r="E10" s="84">
        <v>42</v>
      </c>
      <c r="F10" s="84">
        <v>38</v>
      </c>
      <c r="G10" s="84">
        <v>25</v>
      </c>
      <c r="H10" s="79">
        <f t="shared" si="0"/>
        <v>52.5</v>
      </c>
      <c r="I10" s="8" t="s">
        <v>174</v>
      </c>
    </row>
    <row r="11" spans="1:9" ht="21.75" customHeight="1" x14ac:dyDescent="0.3">
      <c r="A11" s="9" t="s">
        <v>179</v>
      </c>
      <c r="B11" s="81">
        <v>60</v>
      </c>
      <c r="C11" s="85">
        <v>89</v>
      </c>
      <c r="D11" s="85">
        <v>84</v>
      </c>
      <c r="E11" s="81">
        <v>52</v>
      </c>
      <c r="F11" s="81">
        <v>50</v>
      </c>
      <c r="G11" s="80">
        <v>35</v>
      </c>
      <c r="H11" s="82">
        <f t="shared" si="0"/>
        <v>61.666666666666664</v>
      </c>
      <c r="I11" s="48" t="s">
        <v>176</v>
      </c>
    </row>
    <row r="12" spans="1:9" ht="21.75" customHeight="1" x14ac:dyDescent="0.3">
      <c r="A12" s="4" t="s">
        <v>180</v>
      </c>
      <c r="B12" s="83">
        <v>70</v>
      </c>
      <c r="C12" s="78">
        <v>93</v>
      </c>
      <c r="D12" s="78">
        <v>90</v>
      </c>
      <c r="E12" s="83">
        <v>62</v>
      </c>
      <c r="F12" s="83">
        <v>65</v>
      </c>
      <c r="G12" s="84">
        <v>48</v>
      </c>
      <c r="H12" s="79">
        <f t="shared" si="0"/>
        <v>71.333333333333329</v>
      </c>
      <c r="I12" s="67" t="s">
        <v>181</v>
      </c>
    </row>
    <row r="13" spans="1:9" ht="21.75" customHeight="1" x14ac:dyDescent="0.3">
      <c r="A13" s="9" t="s">
        <v>182</v>
      </c>
      <c r="B13" s="85">
        <v>75</v>
      </c>
      <c r="C13" s="85">
        <v>95</v>
      </c>
      <c r="D13" s="85">
        <v>93</v>
      </c>
      <c r="E13" s="81">
        <v>68</v>
      </c>
      <c r="F13" s="81">
        <v>72</v>
      </c>
      <c r="G13" s="81">
        <v>58</v>
      </c>
      <c r="H13" s="82">
        <f t="shared" si="0"/>
        <v>76.833333333333329</v>
      </c>
      <c r="I13" s="51" t="s">
        <v>181</v>
      </c>
    </row>
    <row r="14" spans="1:9" ht="21.75" customHeight="1" x14ac:dyDescent="0.3">
      <c r="A14" s="4" t="s">
        <v>183</v>
      </c>
      <c r="B14" s="78">
        <v>82</v>
      </c>
      <c r="C14" s="78">
        <v>97</v>
      </c>
      <c r="D14" s="78">
        <v>96</v>
      </c>
      <c r="E14" s="78">
        <v>75</v>
      </c>
      <c r="F14" s="78">
        <v>79</v>
      </c>
      <c r="G14" s="83">
        <v>68</v>
      </c>
      <c r="H14" s="79">
        <f t="shared" si="0"/>
        <v>82.833333333333329</v>
      </c>
      <c r="I14" s="67" t="s">
        <v>181</v>
      </c>
    </row>
    <row r="15" spans="1:9" ht="21.75" customHeight="1" x14ac:dyDescent="0.3">
      <c r="A15" s="9" t="s">
        <v>184</v>
      </c>
      <c r="B15" s="85">
        <v>90</v>
      </c>
      <c r="C15" s="85">
        <v>99</v>
      </c>
      <c r="D15" s="85">
        <v>98</v>
      </c>
      <c r="E15" s="85">
        <v>85</v>
      </c>
      <c r="F15" s="85">
        <v>86</v>
      </c>
      <c r="G15" s="85">
        <v>78</v>
      </c>
      <c r="H15" s="82">
        <f t="shared" si="0"/>
        <v>89.333333333333329</v>
      </c>
      <c r="I15" s="15" t="s">
        <v>172</v>
      </c>
    </row>
    <row r="18" spans="1:8" ht="7.5" customHeight="1" x14ac:dyDescent="0.3"/>
    <row r="19" spans="1:8" ht="24" customHeight="1" x14ac:dyDescent="0.3">
      <c r="A19" s="112" t="s">
        <v>185</v>
      </c>
      <c r="B19" s="112"/>
      <c r="C19" s="112"/>
      <c r="D19" s="112"/>
      <c r="E19" s="112"/>
      <c r="F19" s="112"/>
      <c r="G19" s="112"/>
      <c r="H19" s="112"/>
    </row>
    <row r="20" spans="1:8" ht="21.75" customHeight="1" x14ac:dyDescent="0.3">
      <c r="A20" s="3" t="s">
        <v>56</v>
      </c>
      <c r="B20" s="3" t="s">
        <v>186</v>
      </c>
      <c r="C20" s="3" t="s">
        <v>166</v>
      </c>
      <c r="D20" s="3" t="s">
        <v>187</v>
      </c>
      <c r="E20" s="3" t="s">
        <v>117</v>
      </c>
      <c r="F20" s="3" t="s">
        <v>188</v>
      </c>
      <c r="G20" s="3" t="s">
        <v>189</v>
      </c>
      <c r="H20" s="3" t="s">
        <v>190</v>
      </c>
    </row>
    <row r="21" spans="1:8" ht="21.75" customHeight="1" x14ac:dyDescent="0.3">
      <c r="A21" s="4" t="s">
        <v>191</v>
      </c>
      <c r="B21" s="79">
        <f t="shared" ref="B21:H21" si="1">MIN(B6:B15)</f>
        <v>35</v>
      </c>
      <c r="C21" s="79">
        <f t="shared" si="1"/>
        <v>60</v>
      </c>
      <c r="D21" s="79">
        <f t="shared" si="1"/>
        <v>55</v>
      </c>
      <c r="E21" s="79">
        <f t="shared" si="1"/>
        <v>28</v>
      </c>
      <c r="F21" s="79">
        <f t="shared" si="1"/>
        <v>25</v>
      </c>
      <c r="G21" s="79">
        <f t="shared" si="1"/>
        <v>10</v>
      </c>
      <c r="H21" s="79">
        <f t="shared" si="1"/>
        <v>35.5</v>
      </c>
    </row>
    <row r="22" spans="1:8" ht="21.75" customHeight="1" x14ac:dyDescent="0.3">
      <c r="A22" s="9" t="s">
        <v>192</v>
      </c>
      <c r="B22" s="82">
        <f t="shared" ref="B22:H22" si="2">MAX(B6:B15)</f>
        <v>90</v>
      </c>
      <c r="C22" s="82">
        <f t="shared" si="2"/>
        <v>99</v>
      </c>
      <c r="D22" s="82">
        <f t="shared" si="2"/>
        <v>98</v>
      </c>
      <c r="E22" s="82">
        <f t="shared" si="2"/>
        <v>85</v>
      </c>
      <c r="F22" s="82">
        <f t="shared" si="2"/>
        <v>86</v>
      </c>
      <c r="G22" s="82">
        <f t="shared" si="2"/>
        <v>78</v>
      </c>
      <c r="H22" s="82">
        <f t="shared" si="2"/>
        <v>89.333333333333329</v>
      </c>
    </row>
    <row r="23" spans="1:8" ht="21.75" customHeight="1" x14ac:dyDescent="0.3">
      <c r="A23" s="4" t="s">
        <v>193</v>
      </c>
      <c r="B23" s="79">
        <f t="shared" ref="B23:H23" si="3">AVERAGE(B6:B15)</f>
        <v>64.2</v>
      </c>
      <c r="C23" s="79">
        <f t="shared" si="3"/>
        <v>87.3</v>
      </c>
      <c r="D23" s="79">
        <f t="shared" si="3"/>
        <v>83.1</v>
      </c>
      <c r="E23" s="79">
        <f t="shared" si="3"/>
        <v>57.9</v>
      </c>
      <c r="F23" s="79">
        <f t="shared" si="3"/>
        <v>57</v>
      </c>
      <c r="G23" s="79">
        <f t="shared" si="3"/>
        <v>43.7</v>
      </c>
      <c r="H23" s="79">
        <f t="shared" si="3"/>
        <v>65.533333333333331</v>
      </c>
    </row>
    <row r="24" spans="1:8" ht="21.75" customHeight="1" x14ac:dyDescent="0.3">
      <c r="A24" s="9" t="s">
        <v>61</v>
      </c>
      <c r="B24" s="82">
        <f t="shared" ref="B24:H24" si="4">MEDIAN(B6:B15)</f>
        <v>65</v>
      </c>
      <c r="C24" s="82">
        <f t="shared" si="4"/>
        <v>88.5</v>
      </c>
      <c r="D24" s="82">
        <f t="shared" si="4"/>
        <v>87</v>
      </c>
      <c r="E24" s="82">
        <f t="shared" si="4"/>
        <v>57</v>
      </c>
      <c r="F24" s="82">
        <f t="shared" si="4"/>
        <v>57.5</v>
      </c>
      <c r="G24" s="82">
        <f t="shared" si="4"/>
        <v>41.5</v>
      </c>
      <c r="H24" s="82">
        <f t="shared" si="4"/>
        <v>66.5</v>
      </c>
    </row>
    <row r="25" spans="1:8" ht="21.75" customHeight="1" x14ac:dyDescent="0.3">
      <c r="A25" s="4" t="s">
        <v>194</v>
      </c>
      <c r="B25" s="79">
        <f t="shared" ref="B25:H25" si="5">STDEV(B6:B15)</f>
        <v>18.902086892427743</v>
      </c>
      <c r="C25" s="79">
        <f t="shared" si="5"/>
        <v>11.116054455905985</v>
      </c>
      <c r="D25" s="79">
        <f t="shared" si="5"/>
        <v>13.278637815010303</v>
      </c>
      <c r="E25" s="79">
        <f t="shared" si="5"/>
        <v>19.421923465792755</v>
      </c>
      <c r="F25" s="79">
        <f t="shared" si="5"/>
        <v>21.9848432637882</v>
      </c>
      <c r="G25" s="79">
        <f t="shared" si="5"/>
        <v>25.082308949182131</v>
      </c>
      <c r="H25" s="79">
        <f t="shared" si="5"/>
        <v>17.813471112796044</v>
      </c>
    </row>
    <row r="26" spans="1:8" ht="21.75" customHeight="1" x14ac:dyDescent="0.3">
      <c r="A26" s="9" t="s">
        <v>195</v>
      </c>
      <c r="B26" s="82">
        <f t="shared" ref="B26:H26" si="6">COUNTIF(B6:B15,"&gt;=80")</f>
        <v>3</v>
      </c>
      <c r="C26" s="82">
        <f t="shared" si="6"/>
        <v>9</v>
      </c>
      <c r="D26" s="82">
        <f t="shared" si="6"/>
        <v>6</v>
      </c>
      <c r="E26" s="82">
        <f t="shared" si="6"/>
        <v>2</v>
      </c>
      <c r="F26" s="82">
        <f t="shared" si="6"/>
        <v>2</v>
      </c>
      <c r="G26" s="82">
        <f t="shared" si="6"/>
        <v>0</v>
      </c>
      <c r="H26" s="82">
        <f t="shared" si="6"/>
        <v>3</v>
      </c>
    </row>
    <row r="27" spans="1:8" ht="21.75" customHeight="1" x14ac:dyDescent="0.3">
      <c r="A27" s="4" t="s">
        <v>62</v>
      </c>
      <c r="B27" s="79">
        <f t="shared" ref="B27:H27" si="7">LARGE(B6:B15,2)</f>
        <v>85</v>
      </c>
      <c r="C27" s="79">
        <f t="shared" si="7"/>
        <v>97</v>
      </c>
      <c r="D27" s="79">
        <f t="shared" si="7"/>
        <v>96</v>
      </c>
      <c r="E27" s="79">
        <f t="shared" si="7"/>
        <v>82</v>
      </c>
      <c r="F27" s="79">
        <f t="shared" si="7"/>
        <v>80</v>
      </c>
      <c r="G27" s="79">
        <f t="shared" si="7"/>
        <v>75</v>
      </c>
      <c r="H27" s="79">
        <f t="shared" si="7"/>
        <v>83.333333333333329</v>
      </c>
    </row>
  </sheetData>
  <mergeCells count="4">
    <mergeCell ref="A1:I1"/>
    <mergeCell ref="A2:I2"/>
    <mergeCell ref="A4:I4"/>
    <mergeCell ref="A19:H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showGridLines="0" zoomScaleNormal="100" workbookViewId="0">
      <selection sqref="A1:I1"/>
    </sheetView>
  </sheetViews>
  <sheetFormatPr defaultColWidth="8.6640625" defaultRowHeight="14.4" x14ac:dyDescent="0.3"/>
  <cols>
    <col min="1" max="1" width="30" customWidth="1"/>
    <col min="2" max="3" width="18" customWidth="1"/>
    <col min="4" max="4" width="16" customWidth="1"/>
    <col min="5" max="5" width="14" customWidth="1"/>
    <col min="6" max="7" width="18" customWidth="1"/>
    <col min="8" max="8" width="16" customWidth="1"/>
    <col min="9" max="9" width="14" customWidth="1"/>
  </cols>
  <sheetData>
    <row r="1" spans="1:9" ht="42" customHeight="1" x14ac:dyDescent="0.3">
      <c r="A1" s="101" t="s">
        <v>196</v>
      </c>
      <c r="B1" s="101"/>
      <c r="C1" s="101"/>
      <c r="D1" s="101"/>
      <c r="E1" s="101"/>
      <c r="F1" s="101"/>
      <c r="G1" s="101"/>
      <c r="H1" s="101"/>
      <c r="I1" s="101"/>
    </row>
    <row r="2" spans="1:9" ht="18" customHeight="1" x14ac:dyDescent="0.3">
      <c r="A2" s="102" t="s">
        <v>197</v>
      </c>
      <c r="B2" s="102"/>
      <c r="C2" s="102"/>
      <c r="D2" s="102"/>
      <c r="E2" s="102"/>
      <c r="F2" s="102"/>
      <c r="G2" s="102"/>
      <c r="H2" s="102"/>
      <c r="I2" s="102"/>
    </row>
    <row r="4" spans="1:9" ht="24" customHeight="1" x14ac:dyDescent="0.3">
      <c r="A4" s="103" t="s">
        <v>198</v>
      </c>
      <c r="B4" s="103"/>
      <c r="C4" s="103"/>
      <c r="D4" s="103"/>
      <c r="E4" s="103"/>
      <c r="F4" s="103"/>
      <c r="G4" s="103"/>
      <c r="H4" s="103"/>
      <c r="I4" s="103"/>
    </row>
    <row r="5" spans="1:9" ht="42" customHeight="1" x14ac:dyDescent="0.3">
      <c r="A5" s="3" t="s">
        <v>89</v>
      </c>
      <c r="B5" s="3" t="s">
        <v>199</v>
      </c>
      <c r="C5" s="3" t="s">
        <v>200</v>
      </c>
      <c r="D5" s="3" t="s">
        <v>201</v>
      </c>
      <c r="E5" s="3" t="s">
        <v>202</v>
      </c>
      <c r="F5" s="3" t="s">
        <v>203</v>
      </c>
      <c r="G5" s="3" t="s">
        <v>204</v>
      </c>
      <c r="H5" s="3" t="s">
        <v>205</v>
      </c>
      <c r="I5" s="3" t="s">
        <v>206</v>
      </c>
    </row>
    <row r="6" spans="1:9" ht="21.75" customHeight="1" x14ac:dyDescent="0.3">
      <c r="A6" s="4" t="s">
        <v>113</v>
      </c>
      <c r="B6" s="68">
        <v>651</v>
      </c>
      <c r="C6" s="68">
        <v>295</v>
      </c>
      <c r="D6" s="86">
        <f t="shared" ref="D6:D11" si="0">B6-C6</f>
        <v>356</v>
      </c>
      <c r="E6" s="41">
        <f t="shared" ref="E6:E11" si="1">IFERROR((B6-C6)/B6,0)</f>
        <v>0.54685099846390173</v>
      </c>
      <c r="F6" s="41">
        <f t="shared" ref="F6:F11" si="2">IFERROR(D6/$D$12,0)</f>
        <v>0.18426501035196688</v>
      </c>
      <c r="G6" s="68">
        <v>522</v>
      </c>
      <c r="H6" s="68">
        <f t="shared" ref="H6:H11" si="3">B6-G6</f>
        <v>129</v>
      </c>
      <c r="I6" s="41">
        <f t="shared" ref="I6:I12" si="4">IFERROR(G6/B6,0)</f>
        <v>0.8018433179723502</v>
      </c>
    </row>
    <row r="7" spans="1:9" ht="21.75" customHeight="1" x14ac:dyDescent="0.3">
      <c r="A7" s="9" t="s">
        <v>117</v>
      </c>
      <c r="B7" s="71">
        <v>901</v>
      </c>
      <c r="C7" s="71">
        <v>271</v>
      </c>
      <c r="D7" s="87">
        <f t="shared" si="0"/>
        <v>630</v>
      </c>
      <c r="E7" s="40">
        <f t="shared" si="1"/>
        <v>0.6992230854605993</v>
      </c>
      <c r="F7" s="40">
        <f t="shared" si="2"/>
        <v>0.32608695652173914</v>
      </c>
      <c r="G7" s="71">
        <v>580</v>
      </c>
      <c r="H7" s="71">
        <f t="shared" si="3"/>
        <v>321</v>
      </c>
      <c r="I7" s="40">
        <f t="shared" si="4"/>
        <v>0.64372918978912319</v>
      </c>
    </row>
    <row r="8" spans="1:9" ht="21.75" customHeight="1" x14ac:dyDescent="0.3">
      <c r="A8" s="4" t="s">
        <v>207</v>
      </c>
      <c r="B8" s="68">
        <v>850</v>
      </c>
      <c r="C8" s="68">
        <v>432</v>
      </c>
      <c r="D8" s="86">
        <f t="shared" si="0"/>
        <v>418</v>
      </c>
      <c r="E8" s="41">
        <f t="shared" si="1"/>
        <v>0.49176470588235294</v>
      </c>
      <c r="F8" s="41">
        <f t="shared" si="2"/>
        <v>0.21635610766045549</v>
      </c>
      <c r="G8" s="68">
        <v>765</v>
      </c>
      <c r="H8" s="68">
        <f t="shared" si="3"/>
        <v>85</v>
      </c>
      <c r="I8" s="41">
        <f t="shared" si="4"/>
        <v>0.9</v>
      </c>
    </row>
    <row r="9" spans="1:9" ht="21.75" customHeight="1" x14ac:dyDescent="0.3">
      <c r="A9" s="9" t="s">
        <v>99</v>
      </c>
      <c r="B9" s="71">
        <v>320</v>
      </c>
      <c r="C9" s="71">
        <v>58</v>
      </c>
      <c r="D9" s="87">
        <f t="shared" si="0"/>
        <v>262</v>
      </c>
      <c r="E9" s="40">
        <f t="shared" si="1"/>
        <v>0.81874999999999998</v>
      </c>
      <c r="F9" s="40">
        <f t="shared" si="2"/>
        <v>0.13561076604554864</v>
      </c>
      <c r="G9" s="71">
        <v>210</v>
      </c>
      <c r="H9" s="71">
        <f t="shared" si="3"/>
        <v>110</v>
      </c>
      <c r="I9" s="40">
        <f t="shared" si="4"/>
        <v>0.65625</v>
      </c>
    </row>
    <row r="10" spans="1:9" ht="21.75" customHeight="1" x14ac:dyDescent="0.3">
      <c r="A10" s="4" t="s">
        <v>100</v>
      </c>
      <c r="B10" s="68">
        <v>180</v>
      </c>
      <c r="C10" s="68">
        <v>52</v>
      </c>
      <c r="D10" s="86">
        <f t="shared" si="0"/>
        <v>128</v>
      </c>
      <c r="E10" s="41">
        <f t="shared" si="1"/>
        <v>0.71111111111111114</v>
      </c>
      <c r="F10" s="41">
        <f t="shared" si="2"/>
        <v>6.6252587991718431E-2</v>
      </c>
      <c r="G10" s="68">
        <v>138</v>
      </c>
      <c r="H10" s="68">
        <f t="shared" si="3"/>
        <v>42</v>
      </c>
      <c r="I10" s="41">
        <f t="shared" si="4"/>
        <v>0.76666666666666672</v>
      </c>
    </row>
    <row r="11" spans="1:9" ht="21.75" customHeight="1" x14ac:dyDescent="0.3">
      <c r="A11" s="9" t="s">
        <v>120</v>
      </c>
      <c r="B11" s="71">
        <v>150</v>
      </c>
      <c r="C11" s="71">
        <v>12</v>
      </c>
      <c r="D11" s="87">
        <f t="shared" si="0"/>
        <v>138</v>
      </c>
      <c r="E11" s="40">
        <f t="shared" si="1"/>
        <v>0.92</v>
      </c>
      <c r="F11" s="40">
        <f t="shared" si="2"/>
        <v>7.1428571428571425E-2</v>
      </c>
      <c r="G11" s="71">
        <v>89</v>
      </c>
      <c r="H11" s="71">
        <f t="shared" si="3"/>
        <v>61</v>
      </c>
      <c r="I11" s="40">
        <f t="shared" si="4"/>
        <v>0.59333333333333338</v>
      </c>
    </row>
    <row r="12" spans="1:9" ht="24" customHeight="1" x14ac:dyDescent="0.3">
      <c r="A12" s="56" t="s">
        <v>208</v>
      </c>
      <c r="B12" s="77">
        <f>SUM(B6:B11)</f>
        <v>3052</v>
      </c>
      <c r="C12" s="77">
        <f>SUM(C6:C11)</f>
        <v>1120</v>
      </c>
      <c r="D12" s="77">
        <f>SUM(D6:D11)</f>
        <v>1932</v>
      </c>
      <c r="E12" s="58">
        <f>IFERROR(D12/B12,0)</f>
        <v>0.6330275229357798</v>
      </c>
      <c r="F12" s="59" t="s">
        <v>209</v>
      </c>
      <c r="G12" s="77">
        <f>SUM(G6:G11)</f>
        <v>2304</v>
      </c>
      <c r="H12" s="77">
        <f>SUM(H6:H11)</f>
        <v>748</v>
      </c>
      <c r="I12" s="58">
        <f t="shared" si="4"/>
        <v>0.7549148099606815</v>
      </c>
    </row>
    <row r="14" spans="1:9" ht="7.5" customHeight="1" x14ac:dyDescent="0.3"/>
    <row r="15" spans="1:9" ht="24" customHeight="1" x14ac:dyDescent="0.3"/>
    <row r="16" spans="1:9" ht="21.75" customHeight="1" x14ac:dyDescent="0.3"/>
    <row r="17" ht="21.75" customHeight="1" x14ac:dyDescent="0.3"/>
    <row r="18" ht="21.75" customHeight="1" x14ac:dyDescent="0.3"/>
    <row r="19" ht="21.75" customHeight="1" x14ac:dyDescent="0.3"/>
    <row r="20" ht="21.75" customHeight="1" x14ac:dyDescent="0.3"/>
    <row r="21" ht="21.75" customHeight="1" x14ac:dyDescent="0.3"/>
    <row r="22" ht="21.75" customHeight="1" x14ac:dyDescent="0.3"/>
    <row r="23" ht="21.75" customHeight="1" x14ac:dyDescent="0.3"/>
    <row r="24" ht="21.75" customHeight="1" x14ac:dyDescent="0.3"/>
    <row r="25" ht="21.75" customHeight="1" x14ac:dyDescent="0.3"/>
    <row r="26" ht="21.75" customHeight="1" x14ac:dyDescent="0.3"/>
  </sheetData>
  <mergeCells count="3">
    <mergeCell ref="A1:I1"/>
    <mergeCell ref="A2:I2"/>
    <mergeCell ref="A4:I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showGridLines="0" zoomScaleNormal="100" workbookViewId="0">
      <selection sqref="A1:D1"/>
    </sheetView>
  </sheetViews>
  <sheetFormatPr defaultColWidth="8.6640625" defaultRowHeight="14.4" x14ac:dyDescent="0.3"/>
  <cols>
    <col min="1" max="1" width="30" customWidth="1"/>
    <col min="2" max="2" width="40" customWidth="1"/>
    <col min="3" max="3" width="46" customWidth="1"/>
    <col min="4" max="4" width="44" customWidth="1"/>
  </cols>
  <sheetData>
    <row r="1" spans="1:4" ht="42" customHeight="1" x14ac:dyDescent="0.3">
      <c r="A1" s="101" t="s">
        <v>210</v>
      </c>
      <c r="B1" s="101"/>
      <c r="C1" s="101"/>
      <c r="D1" s="101"/>
    </row>
    <row r="2" spans="1:4" ht="18" customHeight="1" x14ac:dyDescent="0.3">
      <c r="A2" s="102" t="s">
        <v>211</v>
      </c>
      <c r="B2" s="102"/>
      <c r="C2" s="102"/>
      <c r="D2" s="102"/>
    </row>
    <row r="5" spans="1:4" ht="6" customHeight="1" x14ac:dyDescent="0.3"/>
    <row r="6" spans="1:4" ht="24" customHeight="1" x14ac:dyDescent="0.3">
      <c r="A6" s="100" t="s">
        <v>212</v>
      </c>
      <c r="B6" s="100"/>
      <c r="C6" s="100"/>
      <c r="D6" s="100"/>
    </row>
    <row r="7" spans="1:4" ht="21.75" customHeight="1" x14ac:dyDescent="0.3">
      <c r="A7" s="88" t="s">
        <v>213</v>
      </c>
      <c r="B7" s="88" t="s">
        <v>214</v>
      </c>
      <c r="C7" s="88" t="s">
        <v>215</v>
      </c>
      <c r="D7" s="88" t="s">
        <v>216</v>
      </c>
    </row>
    <row r="8" spans="1:4" ht="21.75" customHeight="1" x14ac:dyDescent="0.3">
      <c r="A8" s="89" t="s">
        <v>217</v>
      </c>
      <c r="B8" s="90" t="s">
        <v>217</v>
      </c>
      <c r="C8" s="90" t="s">
        <v>218</v>
      </c>
      <c r="D8" s="19" t="s">
        <v>219</v>
      </c>
    </row>
    <row r="9" spans="1:4" ht="21.75" customHeight="1" x14ac:dyDescent="0.3">
      <c r="A9" s="91" t="s">
        <v>220</v>
      </c>
      <c r="B9" s="92" t="s">
        <v>220</v>
      </c>
      <c r="C9" s="92" t="s">
        <v>221</v>
      </c>
      <c r="D9" s="24" t="s">
        <v>222</v>
      </c>
    </row>
    <row r="10" spans="1:4" ht="21.75" customHeight="1" x14ac:dyDescent="0.3">
      <c r="A10" s="89" t="s">
        <v>223</v>
      </c>
      <c r="B10" s="90" t="s">
        <v>223</v>
      </c>
      <c r="C10" s="90">
        <f>MIN(D6:D12)</f>
        <v>0</v>
      </c>
      <c r="D10" s="19" t="s">
        <v>224</v>
      </c>
    </row>
    <row r="11" spans="1:4" ht="21.75" customHeight="1" x14ac:dyDescent="0.3">
      <c r="A11" s="91" t="s">
        <v>225</v>
      </c>
      <c r="B11" s="92" t="s">
        <v>225</v>
      </c>
      <c r="C11" s="92">
        <f>MAX(D6:D12)</f>
        <v>0</v>
      </c>
      <c r="D11" s="24" t="s">
        <v>226</v>
      </c>
    </row>
    <row r="12" spans="1:4" ht="21.75" customHeight="1" x14ac:dyDescent="0.3">
      <c r="A12" s="89" t="s">
        <v>227</v>
      </c>
      <c r="B12" s="90" t="s">
        <v>227</v>
      </c>
      <c r="C12" s="90" t="s">
        <v>228</v>
      </c>
      <c r="D12" s="19" t="s">
        <v>229</v>
      </c>
    </row>
    <row r="13" spans="1:4" ht="21.75" customHeight="1" x14ac:dyDescent="0.3">
      <c r="A13" s="91" t="s">
        <v>230</v>
      </c>
      <c r="B13" s="92" t="s">
        <v>230</v>
      </c>
      <c r="C13" s="92" t="s">
        <v>231</v>
      </c>
      <c r="D13" s="24" t="s">
        <v>232</v>
      </c>
    </row>
    <row r="14" spans="1:4" ht="21.75" customHeight="1" x14ac:dyDescent="0.3">
      <c r="A14" s="89" t="s">
        <v>233</v>
      </c>
      <c r="B14" s="90" t="s">
        <v>233</v>
      </c>
      <c r="C14" s="90">
        <f>COUNT(C6:C12)</f>
        <v>2</v>
      </c>
      <c r="D14" s="19" t="s">
        <v>234</v>
      </c>
    </row>
    <row r="15" spans="1:4" ht="21.75" customHeight="1" x14ac:dyDescent="0.3">
      <c r="A15" s="91" t="s">
        <v>235</v>
      </c>
      <c r="B15" s="92" t="s">
        <v>235</v>
      </c>
      <c r="C15" s="92">
        <f>COUNTA(A6:A12)</f>
        <v>7</v>
      </c>
      <c r="D15" s="24" t="s">
        <v>236</v>
      </c>
    </row>
    <row r="16" spans="1:4" ht="21.75" customHeight="1" x14ac:dyDescent="0.3">
      <c r="A16" s="89" t="s">
        <v>237</v>
      </c>
      <c r="B16" s="90" t="s">
        <v>237</v>
      </c>
      <c r="C16" s="90" t="s">
        <v>238</v>
      </c>
      <c r="D16" s="19" t="s">
        <v>239</v>
      </c>
    </row>
    <row r="17" spans="1:4" ht="21.75" customHeight="1" x14ac:dyDescent="0.3">
      <c r="A17" s="91" t="s">
        <v>240</v>
      </c>
      <c r="B17" s="92" t="s">
        <v>240</v>
      </c>
      <c r="C17" s="92" t="s">
        <v>241</v>
      </c>
      <c r="D17" s="24" t="s">
        <v>242</v>
      </c>
    </row>
    <row r="18" spans="1:4" ht="21.75" customHeight="1" x14ac:dyDescent="0.3">
      <c r="A18" s="89" t="s">
        <v>243</v>
      </c>
      <c r="B18" s="90" t="s">
        <v>243</v>
      </c>
      <c r="C18" s="90" t="s">
        <v>244</v>
      </c>
      <c r="D18" s="19" t="s">
        <v>245</v>
      </c>
    </row>
    <row r="19" spans="1:4" ht="21.75" customHeight="1" x14ac:dyDescent="0.3">
      <c r="A19" s="91" t="s">
        <v>246</v>
      </c>
      <c r="B19" s="92" t="s">
        <v>246</v>
      </c>
      <c r="C19" s="92" t="s">
        <v>247</v>
      </c>
      <c r="D19" s="24" t="s">
        <v>248</v>
      </c>
    </row>
    <row r="20" spans="1:4" ht="21.75" customHeight="1" x14ac:dyDescent="0.3">
      <c r="A20" s="89" t="s">
        <v>249</v>
      </c>
      <c r="B20" s="90" t="s">
        <v>249</v>
      </c>
      <c r="C20" s="90" t="s">
        <v>250</v>
      </c>
      <c r="D20" s="19" t="s">
        <v>251</v>
      </c>
    </row>
    <row r="21" spans="1:4" ht="21.75" customHeight="1" x14ac:dyDescent="0.3">
      <c r="A21" s="91" t="s">
        <v>252</v>
      </c>
      <c r="B21" s="92" t="s">
        <v>252</v>
      </c>
      <c r="C21" s="92" t="s">
        <v>253</v>
      </c>
      <c r="D21" s="24" t="s">
        <v>254</v>
      </c>
    </row>
    <row r="22" spans="1:4" ht="21.75" customHeight="1" x14ac:dyDescent="0.3">
      <c r="A22" s="89" t="s">
        <v>255</v>
      </c>
      <c r="B22" s="90" t="s">
        <v>255</v>
      </c>
      <c r="C22" s="90" t="s">
        <v>256</v>
      </c>
      <c r="D22" s="19" t="s">
        <v>257</v>
      </c>
    </row>
    <row r="24" spans="1:4" ht="6" customHeight="1" x14ac:dyDescent="0.3"/>
    <row r="25" spans="1:4" ht="24" customHeight="1" x14ac:dyDescent="0.3">
      <c r="A25" s="100" t="s">
        <v>258</v>
      </c>
      <c r="B25" s="100"/>
      <c r="C25" s="100"/>
      <c r="D25" s="100"/>
    </row>
    <row r="26" spans="1:4" ht="21.75" customHeight="1" x14ac:dyDescent="0.3">
      <c r="A26" s="88" t="s">
        <v>213</v>
      </c>
      <c r="B26" s="88" t="s">
        <v>214</v>
      </c>
      <c r="C26" s="88" t="s">
        <v>215</v>
      </c>
      <c r="D26" s="88" t="s">
        <v>216</v>
      </c>
    </row>
    <row r="27" spans="1:4" ht="21.75" customHeight="1" x14ac:dyDescent="0.3">
      <c r="A27" s="89" t="s">
        <v>259</v>
      </c>
      <c r="B27" s="90" t="s">
        <v>259</v>
      </c>
      <c r="C27" s="90" t="s">
        <v>260</v>
      </c>
      <c r="D27" s="19" t="s">
        <v>261</v>
      </c>
    </row>
    <row r="28" spans="1:4" ht="21.75" customHeight="1" x14ac:dyDescent="0.3">
      <c r="A28" s="91" t="s">
        <v>262</v>
      </c>
      <c r="B28" s="92" t="s">
        <v>262</v>
      </c>
      <c r="C28" s="92" t="s">
        <v>263</v>
      </c>
      <c r="D28" s="24" t="s">
        <v>264</v>
      </c>
    </row>
    <row r="29" spans="1:4" ht="21.75" customHeight="1" x14ac:dyDescent="0.3">
      <c r="A29" s="89" t="s">
        <v>265</v>
      </c>
      <c r="B29" s="90" t="s">
        <v>265</v>
      </c>
      <c r="C29" s="90">
        <f>IFERROR(D6/B6, 0)</f>
        <v>0</v>
      </c>
      <c r="D29" s="19" t="s">
        <v>266</v>
      </c>
    </row>
    <row r="30" spans="1:4" ht="21.75" customHeight="1" x14ac:dyDescent="0.3">
      <c r="A30" s="91" t="s">
        <v>267</v>
      </c>
      <c r="B30" s="92" t="s">
        <v>267</v>
      </c>
      <c r="C30" s="92" t="s">
        <v>268</v>
      </c>
      <c r="D30" s="24" t="s">
        <v>269</v>
      </c>
    </row>
    <row r="31" spans="1:4" ht="21.75" customHeight="1" x14ac:dyDescent="0.3">
      <c r="A31" s="89" t="s">
        <v>270</v>
      </c>
      <c r="B31" s="90" t="s">
        <v>270</v>
      </c>
      <c r="C31" s="90" t="s">
        <v>271</v>
      </c>
      <c r="D31" s="19" t="s">
        <v>272</v>
      </c>
    </row>
    <row r="32" spans="1:4" ht="21.75" customHeight="1" x14ac:dyDescent="0.3">
      <c r="A32" s="91" t="s">
        <v>273</v>
      </c>
      <c r="B32" s="92" t="s">
        <v>273</v>
      </c>
      <c r="C32" s="92" t="s">
        <v>274</v>
      </c>
      <c r="D32" s="24" t="s">
        <v>275</v>
      </c>
    </row>
    <row r="33" spans="1:4" ht="21.75" customHeight="1" x14ac:dyDescent="0.3">
      <c r="A33" s="89" t="s">
        <v>276</v>
      </c>
      <c r="B33" s="90" t="s">
        <v>276</v>
      </c>
      <c r="C33" s="90" t="s">
        <v>277</v>
      </c>
      <c r="D33" s="19" t="s">
        <v>278</v>
      </c>
    </row>
    <row r="34" spans="1:4" ht="21.75" customHeight="1" x14ac:dyDescent="0.3">
      <c r="A34" s="91" t="s">
        <v>279</v>
      </c>
      <c r="B34" s="92" t="s">
        <v>279</v>
      </c>
      <c r="C34" s="92" t="s">
        <v>280</v>
      </c>
      <c r="D34" s="24" t="s">
        <v>281</v>
      </c>
    </row>
    <row r="36" spans="1:4" ht="6" customHeight="1" x14ac:dyDescent="0.3"/>
    <row r="37" spans="1:4" ht="24" customHeight="1" x14ac:dyDescent="0.3">
      <c r="A37" s="100" t="s">
        <v>282</v>
      </c>
      <c r="B37" s="100"/>
      <c r="C37" s="100"/>
      <c r="D37" s="100"/>
    </row>
    <row r="38" spans="1:4" ht="21.75" customHeight="1" x14ac:dyDescent="0.3">
      <c r="A38" s="88" t="s">
        <v>213</v>
      </c>
      <c r="B38" s="88" t="s">
        <v>214</v>
      </c>
      <c r="C38" s="88" t="s">
        <v>215</v>
      </c>
      <c r="D38" s="88" t="s">
        <v>216</v>
      </c>
    </row>
    <row r="39" spans="1:4" ht="21.75" customHeight="1" x14ac:dyDescent="0.3">
      <c r="A39" s="89" t="s">
        <v>283</v>
      </c>
      <c r="B39" s="90" t="s">
        <v>283</v>
      </c>
      <c r="C39" s="90" t="s">
        <v>284</v>
      </c>
      <c r="D39" s="19" t="s">
        <v>285</v>
      </c>
    </row>
    <row r="40" spans="1:4" ht="21.75" customHeight="1" x14ac:dyDescent="0.3">
      <c r="A40" s="91">
        <f>COUNTIFS(R1,C1, R2,C2)</f>
        <v>0</v>
      </c>
      <c r="B40" s="92">
        <f>COUNTIFS(R1,C1, R2,C2)</f>
        <v>0</v>
      </c>
      <c r="C40" s="92" t="s">
        <v>286</v>
      </c>
      <c r="D40" s="24" t="s">
        <v>287</v>
      </c>
    </row>
    <row r="41" spans="1:4" ht="21.75" customHeight="1" x14ac:dyDescent="0.3">
      <c r="A41" s="89" t="s">
        <v>288</v>
      </c>
      <c r="B41" s="90" t="s">
        <v>288</v>
      </c>
      <c r="C41" s="90" t="s">
        <v>289</v>
      </c>
      <c r="D41" s="19" t="s">
        <v>290</v>
      </c>
    </row>
    <row r="42" spans="1:4" ht="21.75" customHeight="1" x14ac:dyDescent="0.3">
      <c r="A42" s="91" t="s">
        <v>291</v>
      </c>
      <c r="B42" s="92" t="s">
        <v>291</v>
      </c>
      <c r="C42" s="92">
        <f>SUMIFS(D6:D12, A6:A12, "Hotels")</f>
        <v>0</v>
      </c>
      <c r="D42" s="24" t="s">
        <v>292</v>
      </c>
    </row>
    <row r="43" spans="1:4" ht="21.75" customHeight="1" x14ac:dyDescent="0.3">
      <c r="A43" s="89" t="s">
        <v>293</v>
      </c>
      <c r="B43" s="90" t="s">
        <v>293</v>
      </c>
      <c r="C43" s="90" t="s">
        <v>294</v>
      </c>
      <c r="D43" s="19" t="s">
        <v>295</v>
      </c>
    </row>
    <row r="44" spans="1:4" ht="21.75" customHeight="1" x14ac:dyDescent="0.3">
      <c r="A44" s="91" t="s">
        <v>296</v>
      </c>
      <c r="B44" s="92" t="s">
        <v>296</v>
      </c>
      <c r="C44" s="92" t="s">
        <v>297</v>
      </c>
      <c r="D44" s="24" t="s">
        <v>298</v>
      </c>
    </row>
    <row r="45" spans="1:4" ht="21.75" customHeight="1" x14ac:dyDescent="0.3">
      <c r="A45" s="89" t="s">
        <v>299</v>
      </c>
      <c r="B45" s="90" t="s">
        <v>299</v>
      </c>
      <c r="C45" s="90" t="s">
        <v>300</v>
      </c>
      <c r="D45" s="19" t="s">
        <v>301</v>
      </c>
    </row>
    <row r="46" spans="1:4" ht="21.75" customHeight="1" x14ac:dyDescent="0.3">
      <c r="A46" s="91" t="s">
        <v>302</v>
      </c>
      <c r="B46" s="92" t="s">
        <v>302</v>
      </c>
      <c r="C46" s="92" t="s">
        <v>303</v>
      </c>
      <c r="D46" s="24" t="s">
        <v>304</v>
      </c>
    </row>
    <row r="47" spans="1:4" ht="21.75" customHeight="1" x14ac:dyDescent="0.3">
      <c r="A47" s="89" t="s">
        <v>305</v>
      </c>
      <c r="B47" s="90" t="s">
        <v>305</v>
      </c>
      <c r="C47" s="90" t="s">
        <v>306</v>
      </c>
      <c r="D47" s="19" t="s">
        <v>307</v>
      </c>
    </row>
    <row r="49" spans="1:4" ht="6" customHeight="1" x14ac:dyDescent="0.3"/>
    <row r="50" spans="1:4" ht="24" customHeight="1" x14ac:dyDescent="0.3">
      <c r="A50" s="100" t="s">
        <v>308</v>
      </c>
      <c r="B50" s="100"/>
      <c r="C50" s="100"/>
      <c r="D50" s="100"/>
    </row>
    <row r="51" spans="1:4" ht="21.75" customHeight="1" x14ac:dyDescent="0.3">
      <c r="A51" s="88" t="s">
        <v>213</v>
      </c>
      <c r="B51" s="88" t="s">
        <v>214</v>
      </c>
      <c r="C51" s="88" t="s">
        <v>215</v>
      </c>
      <c r="D51" s="88" t="s">
        <v>216</v>
      </c>
    </row>
    <row r="52" spans="1:4" ht="21.75" customHeight="1" x14ac:dyDescent="0.3">
      <c r="A52" s="89" t="s">
        <v>309</v>
      </c>
      <c r="B52" s="90" t="s">
        <v>309</v>
      </c>
      <c r="C52" s="90" t="s">
        <v>310</v>
      </c>
      <c r="D52" s="19" t="s">
        <v>311</v>
      </c>
    </row>
    <row r="53" spans="1:4" ht="21.75" customHeight="1" x14ac:dyDescent="0.3">
      <c r="A53" s="91" t="s">
        <v>312</v>
      </c>
      <c r="B53" s="92" t="s">
        <v>312</v>
      </c>
      <c r="C53" s="92" t="s">
        <v>313</v>
      </c>
      <c r="D53" s="24" t="s">
        <v>314</v>
      </c>
    </row>
    <row r="54" spans="1:4" ht="21.75" customHeight="1" x14ac:dyDescent="0.3">
      <c r="A54" s="89" t="s">
        <v>315</v>
      </c>
      <c r="B54" s="90" t="s">
        <v>315</v>
      </c>
      <c r="C54" s="90" t="str">
        <f>INDEX(B6:B12, 3, 1)</f>
        <v> =SUM(range)</v>
      </c>
      <c r="D54" s="19" t="s">
        <v>316</v>
      </c>
    </row>
    <row r="55" spans="1:4" ht="21.75" customHeight="1" x14ac:dyDescent="0.3">
      <c r="A55" s="91" t="s">
        <v>317</v>
      </c>
      <c r="B55" s="92" t="s">
        <v>317</v>
      </c>
      <c r="C55" s="92" t="s">
        <v>318</v>
      </c>
      <c r="D55" s="24" t="s">
        <v>319</v>
      </c>
    </row>
    <row r="56" spans="1:4" ht="21.75" customHeight="1" x14ac:dyDescent="0.3">
      <c r="A56" s="89" t="s">
        <v>320</v>
      </c>
      <c r="B56" s="90" t="s">
        <v>320</v>
      </c>
      <c r="C56" s="90" t="s">
        <v>321</v>
      </c>
      <c r="D56" s="19" t="s">
        <v>322</v>
      </c>
    </row>
    <row r="57" spans="1:4" ht="21.75" customHeight="1" x14ac:dyDescent="0.3">
      <c r="A57" s="91" t="s">
        <v>323</v>
      </c>
      <c r="B57" s="92" t="s">
        <v>323</v>
      </c>
      <c r="C57" s="92" t="s">
        <v>324</v>
      </c>
      <c r="D57" s="24" t="s">
        <v>325</v>
      </c>
    </row>
    <row r="58" spans="1:4" ht="21.75" customHeight="1" x14ac:dyDescent="0.3">
      <c r="A58" s="89" t="s">
        <v>326</v>
      </c>
      <c r="B58" s="90" t="s">
        <v>326</v>
      </c>
      <c r="C58" s="90" t="s">
        <v>327</v>
      </c>
      <c r="D58" s="19" t="s">
        <v>328</v>
      </c>
    </row>
    <row r="59" spans="1:4" ht="21.75" customHeight="1" x14ac:dyDescent="0.3">
      <c r="A59" s="91" t="s">
        <v>329</v>
      </c>
      <c r="B59" s="92" t="s">
        <v>329</v>
      </c>
      <c r="C59" s="92" t="s">
        <v>330</v>
      </c>
      <c r="D59" s="24" t="s">
        <v>331</v>
      </c>
    </row>
    <row r="60" spans="1:4" ht="21.75" customHeight="1" x14ac:dyDescent="0.3">
      <c r="A60" s="89" t="s">
        <v>332</v>
      </c>
      <c r="B60" s="90" t="s">
        <v>332</v>
      </c>
      <c r="C60" s="90" t="s">
        <v>333</v>
      </c>
      <c r="D60" s="19" t="s">
        <v>334</v>
      </c>
    </row>
    <row r="62" spans="1:4" ht="6" customHeight="1" x14ac:dyDescent="0.3"/>
    <row r="63" spans="1:4" ht="24" customHeight="1" x14ac:dyDescent="0.3">
      <c r="A63" s="100" t="s">
        <v>335</v>
      </c>
      <c r="B63" s="100"/>
      <c r="C63" s="100"/>
      <c r="D63" s="100"/>
    </row>
    <row r="64" spans="1:4" ht="21.75" customHeight="1" x14ac:dyDescent="0.3">
      <c r="A64" s="88" t="s">
        <v>213</v>
      </c>
      <c r="B64" s="88" t="s">
        <v>214</v>
      </c>
      <c r="C64" s="88" t="s">
        <v>215</v>
      </c>
      <c r="D64" s="88" t="s">
        <v>216</v>
      </c>
    </row>
    <row r="65" spans="1:4" ht="21.75" customHeight="1" x14ac:dyDescent="0.3">
      <c r="A65" s="89" t="s">
        <v>336</v>
      </c>
      <c r="B65" s="90" t="s">
        <v>336</v>
      </c>
      <c r="C65" s="90" t="s">
        <v>337</v>
      </c>
      <c r="D65" s="19" t="s">
        <v>338</v>
      </c>
    </row>
    <row r="66" spans="1:4" ht="21.75" customHeight="1" x14ac:dyDescent="0.3">
      <c r="A66" s="91" t="s">
        <v>339</v>
      </c>
      <c r="B66" s="92" t="s">
        <v>339</v>
      </c>
      <c r="C66" s="92" t="s">
        <v>340</v>
      </c>
      <c r="D66" s="24" t="s">
        <v>341</v>
      </c>
    </row>
    <row r="67" spans="1:4" ht="21.75" customHeight="1" x14ac:dyDescent="0.3">
      <c r="A67" s="89" t="s">
        <v>342</v>
      </c>
      <c r="B67" s="90" t="s">
        <v>342</v>
      </c>
      <c r="C67" s="93" t="s">
        <v>343</v>
      </c>
      <c r="D67" s="19" t="s">
        <v>344</v>
      </c>
    </row>
    <row r="68" spans="1:4" ht="21.75" customHeight="1" x14ac:dyDescent="0.3">
      <c r="A68" s="91" t="s">
        <v>345</v>
      </c>
      <c r="B68" s="92" t="s">
        <v>345</v>
      </c>
      <c r="C68" s="94" t="s">
        <v>346</v>
      </c>
      <c r="D68" s="24" t="s">
        <v>347</v>
      </c>
    </row>
    <row r="69" spans="1:4" ht="21.75" customHeight="1" x14ac:dyDescent="0.3">
      <c r="A69" s="89" t="s">
        <v>348</v>
      </c>
      <c r="B69" s="90" t="s">
        <v>348</v>
      </c>
      <c r="C69" s="93" t="s">
        <v>349</v>
      </c>
      <c r="D69" s="19" t="s">
        <v>350</v>
      </c>
    </row>
    <row r="70" spans="1:4" ht="21.75" customHeight="1" x14ac:dyDescent="0.3">
      <c r="A70" s="91" t="s">
        <v>351</v>
      </c>
      <c r="B70" s="92" t="s">
        <v>351</v>
      </c>
      <c r="C70" s="95" t="s">
        <v>352</v>
      </c>
      <c r="D70" s="24" t="s">
        <v>353</v>
      </c>
    </row>
    <row r="71" spans="1:4" ht="21.75" customHeight="1" x14ac:dyDescent="0.3">
      <c r="A71" s="89" t="s">
        <v>354</v>
      </c>
      <c r="B71" s="90" t="s">
        <v>354</v>
      </c>
      <c r="C71" s="93" t="s">
        <v>355</v>
      </c>
      <c r="D71" s="19" t="s">
        <v>356</v>
      </c>
    </row>
    <row r="72" spans="1:4" ht="21.75" customHeight="1" x14ac:dyDescent="0.3">
      <c r="A72" s="91" t="s">
        <v>357</v>
      </c>
      <c r="B72" s="92" t="s">
        <v>357</v>
      </c>
      <c r="C72" s="94" t="s">
        <v>358</v>
      </c>
      <c r="D72" s="24" t="s">
        <v>359</v>
      </c>
    </row>
    <row r="74" spans="1:4" ht="6" customHeight="1" x14ac:dyDescent="0.3"/>
    <row r="75" spans="1:4" ht="24" customHeight="1" x14ac:dyDescent="0.3">
      <c r="A75" s="100" t="s">
        <v>360</v>
      </c>
      <c r="B75" s="100"/>
      <c r="C75" s="100"/>
      <c r="D75" s="100"/>
    </row>
    <row r="76" spans="1:4" ht="21.75" customHeight="1" x14ac:dyDescent="0.3">
      <c r="A76" s="88" t="s">
        <v>213</v>
      </c>
      <c r="B76" s="88" t="s">
        <v>214</v>
      </c>
      <c r="C76" s="88" t="s">
        <v>215</v>
      </c>
      <c r="D76" s="88" t="s">
        <v>216</v>
      </c>
    </row>
    <row r="77" spans="1:4" ht="21.75" customHeight="1" x14ac:dyDescent="0.3">
      <c r="A77" s="89" t="s">
        <v>361</v>
      </c>
      <c r="B77" s="90" t="s">
        <v>361</v>
      </c>
      <c r="C77" s="90" t="s">
        <v>362</v>
      </c>
      <c r="D77" s="19" t="s">
        <v>363</v>
      </c>
    </row>
    <row r="78" spans="1:4" ht="21.75" customHeight="1" x14ac:dyDescent="0.3">
      <c r="A78" s="91" t="s">
        <v>364</v>
      </c>
      <c r="B78" s="92" t="s">
        <v>364</v>
      </c>
      <c r="C78" s="92" t="s">
        <v>365</v>
      </c>
      <c r="D78" s="24" t="s">
        <v>366</v>
      </c>
    </row>
    <row r="79" spans="1:4" ht="21.75" customHeight="1" x14ac:dyDescent="0.3">
      <c r="A79" s="89" t="s">
        <v>367</v>
      </c>
      <c r="B79" s="90" t="s">
        <v>367</v>
      </c>
      <c r="C79" s="90" t="s">
        <v>368</v>
      </c>
      <c r="D79" s="19" t="s">
        <v>369</v>
      </c>
    </row>
    <row r="80" spans="1:4" ht="21.75" customHeight="1" x14ac:dyDescent="0.3">
      <c r="A80" s="91" t="s">
        <v>370</v>
      </c>
      <c r="B80" s="92" t="s">
        <v>370</v>
      </c>
      <c r="C80" s="92" t="s">
        <v>371</v>
      </c>
      <c r="D80" s="24" t="s">
        <v>372</v>
      </c>
    </row>
    <row r="81" spans="1:4" ht="21.75" customHeight="1" x14ac:dyDescent="0.3">
      <c r="A81" s="89" t="s">
        <v>373</v>
      </c>
      <c r="B81" s="90" t="s">
        <v>373</v>
      </c>
      <c r="C81" s="90" t="s">
        <v>374</v>
      </c>
      <c r="D81" s="19" t="s">
        <v>375</v>
      </c>
    </row>
    <row r="82" spans="1:4" ht="21.75" customHeight="1" x14ac:dyDescent="0.3">
      <c r="A82" s="91" t="s">
        <v>376</v>
      </c>
      <c r="B82" s="92" t="s">
        <v>376</v>
      </c>
      <c r="C82" s="92" t="s">
        <v>377</v>
      </c>
      <c r="D82" s="24" t="s">
        <v>378</v>
      </c>
    </row>
    <row r="83" spans="1:4" ht="21.75" customHeight="1" x14ac:dyDescent="0.3">
      <c r="A83" s="89" t="s">
        <v>379</v>
      </c>
      <c r="B83" s="90" t="s">
        <v>379</v>
      </c>
      <c r="C83" s="90" t="s">
        <v>380</v>
      </c>
      <c r="D83" s="19" t="s">
        <v>381</v>
      </c>
    </row>
    <row r="84" spans="1:4" ht="21.75" customHeight="1" x14ac:dyDescent="0.3">
      <c r="A84" s="91" t="s">
        <v>382</v>
      </c>
      <c r="B84" s="92" t="s">
        <v>382</v>
      </c>
      <c r="C84" s="92" t="s">
        <v>383</v>
      </c>
      <c r="D84" s="24" t="s">
        <v>384</v>
      </c>
    </row>
    <row r="86" spans="1:4" ht="6" customHeight="1" x14ac:dyDescent="0.3"/>
    <row r="87" spans="1:4" ht="24" customHeight="1" x14ac:dyDescent="0.3">
      <c r="A87" s="100" t="s">
        <v>385</v>
      </c>
      <c r="B87" s="100"/>
      <c r="C87" s="100"/>
      <c r="D87" s="100"/>
    </row>
    <row r="88" spans="1:4" ht="21.75" customHeight="1" x14ac:dyDescent="0.3">
      <c r="A88" s="88" t="s">
        <v>213</v>
      </c>
      <c r="B88" s="88" t="s">
        <v>214</v>
      </c>
      <c r="C88" s="88" t="s">
        <v>215</v>
      </c>
      <c r="D88" s="88" t="s">
        <v>216</v>
      </c>
    </row>
    <row r="89" spans="1:4" ht="21.75" customHeight="1" x14ac:dyDescent="0.3">
      <c r="A89" s="89" t="s">
        <v>386</v>
      </c>
      <c r="B89" s="90" t="s">
        <v>386</v>
      </c>
      <c r="C89" s="90" t="s">
        <v>387</v>
      </c>
      <c r="D89" s="19" t="s">
        <v>388</v>
      </c>
    </row>
    <row r="90" spans="1:4" ht="21.75" customHeight="1" x14ac:dyDescent="0.3">
      <c r="A90" s="91" t="s">
        <v>389</v>
      </c>
      <c r="B90" s="92" t="s">
        <v>389</v>
      </c>
      <c r="C90" s="92" t="s">
        <v>390</v>
      </c>
      <c r="D90" s="24" t="s">
        <v>391</v>
      </c>
    </row>
    <row r="91" spans="1:4" ht="21.75" customHeight="1" x14ac:dyDescent="0.3">
      <c r="A91" s="89" t="s">
        <v>392</v>
      </c>
      <c r="B91" s="90" t="s">
        <v>392</v>
      </c>
      <c r="C91" s="90" t="s">
        <v>393</v>
      </c>
      <c r="D91" s="19" t="s">
        <v>394</v>
      </c>
    </row>
    <row r="92" spans="1:4" ht="21.75" customHeight="1" x14ac:dyDescent="0.3">
      <c r="A92" s="91" t="s">
        <v>395</v>
      </c>
      <c r="B92" s="92" t="s">
        <v>395</v>
      </c>
      <c r="C92" s="92" t="s">
        <v>396</v>
      </c>
      <c r="D92" s="24" t="s">
        <v>397</v>
      </c>
    </row>
    <row r="93" spans="1:4" ht="21.75" customHeight="1" x14ac:dyDescent="0.3">
      <c r="A93" s="89" t="s">
        <v>398</v>
      </c>
      <c r="B93" s="90" t="s">
        <v>398</v>
      </c>
      <c r="C93" s="90" t="s">
        <v>399</v>
      </c>
      <c r="D93" s="19" t="s">
        <v>400</v>
      </c>
    </row>
    <row r="94" spans="1:4" ht="21.75" customHeight="1" x14ac:dyDescent="0.3">
      <c r="A94" s="91" t="s">
        <v>401</v>
      </c>
      <c r="B94" s="92" t="s">
        <v>401</v>
      </c>
      <c r="C94" s="92" t="s">
        <v>402</v>
      </c>
      <c r="D94" s="24" t="s">
        <v>403</v>
      </c>
    </row>
    <row r="95" spans="1:4" ht="21.75" customHeight="1" x14ac:dyDescent="0.3">
      <c r="A95" s="89" t="s">
        <v>404</v>
      </c>
      <c r="B95" s="90" t="s">
        <v>404</v>
      </c>
      <c r="C95" s="90" t="s">
        <v>405</v>
      </c>
      <c r="D95" s="19" t="s">
        <v>406</v>
      </c>
    </row>
    <row r="96" spans="1:4" ht="21.75" customHeight="1" x14ac:dyDescent="0.3">
      <c r="A96" s="91" t="s">
        <v>407</v>
      </c>
      <c r="B96" s="92" t="s">
        <v>407</v>
      </c>
      <c r="C96" s="92" t="s">
        <v>408</v>
      </c>
      <c r="D96" s="24" t="s">
        <v>409</v>
      </c>
    </row>
    <row r="97" spans="1:4" ht="21.75" customHeight="1" x14ac:dyDescent="0.3">
      <c r="A97" s="89" t="s">
        <v>410</v>
      </c>
      <c r="B97" s="90" t="s">
        <v>410</v>
      </c>
      <c r="C97" s="90" t="s">
        <v>411</v>
      </c>
      <c r="D97" s="19" t="s">
        <v>412</v>
      </c>
    </row>
    <row r="98" spans="1:4" ht="21.75" customHeight="1" x14ac:dyDescent="0.3">
      <c r="A98" s="96" t="s">
        <v>413</v>
      </c>
      <c r="B98" s="97" t="s">
        <v>413</v>
      </c>
      <c r="C98" s="97" t="s">
        <v>413</v>
      </c>
      <c r="D98" s="24" t="s">
        <v>414</v>
      </c>
    </row>
    <row r="99" spans="1:4" ht="21.75" customHeight="1" x14ac:dyDescent="0.3">
      <c r="A99" s="89" t="s">
        <v>415</v>
      </c>
      <c r="B99" s="90" t="s">
        <v>415</v>
      </c>
      <c r="C99" s="90" t="s">
        <v>416</v>
      </c>
      <c r="D99" s="19" t="s">
        <v>417</v>
      </c>
    </row>
    <row r="100" spans="1:4" ht="21.75" customHeight="1" x14ac:dyDescent="0.3">
      <c r="A100" s="91" t="s">
        <v>418</v>
      </c>
      <c r="B100" s="92" t="s">
        <v>418</v>
      </c>
      <c r="C100" s="92" t="s">
        <v>419</v>
      </c>
      <c r="D100" s="24" t="s">
        <v>420</v>
      </c>
    </row>
    <row r="101" spans="1:4" ht="21.75" customHeight="1" x14ac:dyDescent="0.3">
      <c r="A101" s="89" t="s">
        <v>421</v>
      </c>
      <c r="B101" s="90" t="s">
        <v>421</v>
      </c>
      <c r="C101" s="90" t="s">
        <v>422</v>
      </c>
      <c r="D101" s="19" t="s">
        <v>423</v>
      </c>
    </row>
  </sheetData>
  <mergeCells count="9">
    <mergeCell ref="A50:D50"/>
    <mergeCell ref="A63:D63"/>
    <mergeCell ref="A75:D75"/>
    <mergeCell ref="A87:D87"/>
    <mergeCell ref="A1:D1"/>
    <mergeCell ref="A2:D2"/>
    <mergeCell ref="A6:D6"/>
    <mergeCell ref="A25:D25"/>
    <mergeCell ref="A37:D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GDP &amp; Revenue</vt:lpstr>
      <vt:lpstr>Employment Tracker</vt:lpstr>
      <vt:lpstr>Business Closures &amp; Relief</vt:lpstr>
      <vt:lpstr>Recovery Tracker</vt:lpstr>
      <vt:lpstr>Revenue Loss Breakdown</vt:lpstr>
      <vt:lpstr>Formula Master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khushbu yadav</cp:lastModifiedBy>
  <cp:revision>8</cp:revision>
  <dcterms:created xsi:type="dcterms:W3CDTF">2026-03-23T05:47:40Z</dcterms:created>
  <dcterms:modified xsi:type="dcterms:W3CDTF">2026-03-23T17:48:04Z</dcterms:modified>
  <dc:language>en-US</dc:language>
</cp:coreProperties>
</file>